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675" activeTab="3"/>
  </bookViews>
  <sheets>
    <sheet name="检查结果计算表" sheetId="49" r:id="rId1"/>
    <sheet name="点位清单表" sheetId="54" r:id="rId2"/>
    <sheet name="结果清单" sheetId="55" r:id="rId3"/>
    <sheet name="设备清单" sheetId="56" r:id="rId4"/>
    <sheet name="封面页---安全设施" sheetId="2" r:id="rId5"/>
    <sheet name="分部工程-安全设施" sheetId="51" r:id="rId6"/>
    <sheet name="消防设施" sheetId="1" r:id="rId7"/>
    <sheet name="电气安全" sheetId="44" r:id="rId8"/>
    <sheet name="防护设施" sheetId="50" r:id="rId9"/>
    <sheet name="封面页---生产设备" sheetId="18" r:id="rId10"/>
    <sheet name="分部工程-生产设备" sheetId="52" r:id="rId11"/>
    <sheet name="机械设备" sheetId="14" r:id="rId12"/>
    <sheet name="特种设备" sheetId="16" r:id="rId13"/>
    <sheet name="仪器仪表" sheetId="17" r:id="rId14"/>
  </sheets>
  <definedNames>
    <definedName name="_xlnm.Print_Titles" localSheetId="6">消防设施!$A:$C,消防设施!$1:$3</definedName>
    <definedName name="_xlnm.Print_Area" localSheetId="6">消防设施!$A$1:$J$10</definedName>
    <definedName name="_xlnm.Print_Area" localSheetId="4">'封面页---安全设施'!$A$1:$I$46</definedName>
    <definedName name="_xlnm.Print_Titles" localSheetId="11">机械设备!$A:$C,机械设备!$1:$3</definedName>
    <definedName name="_xlnm.Print_Area" localSheetId="11">机械设备!$A$1:$V$10</definedName>
    <definedName name="_xlnm.Print_Titles" localSheetId="12">特种设备!$A:$C,特种设备!$1:$3</definedName>
    <definedName name="_xlnm.Print_Area" localSheetId="12">特种设备!$A$1:$AB$10</definedName>
    <definedName name="_xlnm.Print_Titles" localSheetId="13">仪器仪表!$A:$C,仪器仪表!$1:$3</definedName>
    <definedName name="_xlnm.Print_Area" localSheetId="13">仪器仪表!$A$1:$J$19</definedName>
    <definedName name="_xlnm.Print_Area" localSheetId="9">'封面页---生产设备'!$A$1:$I$46</definedName>
    <definedName name="_xlnm.Print_Titles" localSheetId="7">电气安全!$A:$C,电气安全!$1:$3</definedName>
    <definedName name="_xlnm.Print_Area" localSheetId="7">电气安全!$A$1:$J$20</definedName>
    <definedName name="_xlnm.Print_Titles" localSheetId="8">防护设施!$A:$C,防护设施!$1:$3</definedName>
    <definedName name="_xlnm.Print_Area" localSheetId="8">防护设施!$A$1:$J$18</definedName>
    <definedName name="_xlnm.Print_Area" localSheetId="1">点位清单表!$A$1:$J$17</definedName>
    <definedName name="_xlnm.Print_Area" localSheetId="2">结果清单!$A$1:$E$9</definedName>
    <definedName name="_xlnm.Print_Area" localSheetId="3">设备清单!$A$1:$F$7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<sst xmlns="http://schemas.openxmlformats.org/spreadsheetml/2006/main" count="876" uniqueCount="151">
  <si>
    <t>检查结果计算</t>
  </si>
  <si>
    <r>
      <rPr>
        <b/>
        <sz val="11"/>
        <color theme="1"/>
        <rFont val="宋体"/>
        <charset val="134"/>
      </rPr>
      <t>序号</t>
    </r>
    <r>
      <rPr>
        <b/>
        <sz val="11"/>
        <color theme="1"/>
        <rFont val="Times New Roman"/>
        <charset val="134"/>
      </rPr>
      <t xml:space="preserve"> </t>
    </r>
  </si>
  <si>
    <t>设施</t>
  </si>
  <si>
    <t>总量</t>
  </si>
  <si>
    <t>故障数量</t>
  </si>
  <si>
    <t>合格率</t>
  </si>
  <si>
    <t>分部名称：安全设施</t>
  </si>
  <si>
    <t>消防设施*</t>
  </si>
  <si>
    <t>电气安全*</t>
  </si>
  <si>
    <t>防护设施</t>
  </si>
  <si>
    <t>合计</t>
  </si>
  <si>
    <t>分项名称：生产设备</t>
  </si>
  <si>
    <t>机械设备*</t>
  </si>
  <si>
    <t>特种设备*</t>
  </si>
  <si>
    <t>仪器仪表</t>
  </si>
  <si>
    <t>检查公司</t>
  </si>
  <si>
    <t>检查点位清单</t>
  </si>
  <si>
    <t>序号</t>
  </si>
  <si>
    <t>设施名称</t>
  </si>
  <si>
    <t>单位</t>
  </si>
  <si>
    <t>数量</t>
  </si>
  <si>
    <t>检测部位</t>
  </si>
  <si>
    <t>安全设施</t>
  </si>
  <si>
    <t>消防设施</t>
  </si>
  <si>
    <t>台</t>
  </si>
  <si>
    <t>地点1</t>
  </si>
  <si>
    <t>地点2</t>
  </si>
  <si>
    <t>/</t>
  </si>
  <si>
    <t>电气安全</t>
  </si>
  <si>
    <t>处</t>
  </si>
  <si>
    <t>生产设备</t>
  </si>
  <si>
    <t>机械设备</t>
  </si>
  <si>
    <t>设备1</t>
  </si>
  <si>
    <t>设备2</t>
  </si>
  <si>
    <t>设备3</t>
  </si>
  <si>
    <t>设备4</t>
  </si>
  <si>
    <t>设备5</t>
  </si>
  <si>
    <t>设备6</t>
  </si>
  <si>
    <t>设备7</t>
  </si>
  <si>
    <t>设备8</t>
  </si>
  <si>
    <t>设备9</t>
  </si>
  <si>
    <t>设备10</t>
  </si>
  <si>
    <t>设备11</t>
  </si>
  <si>
    <t>设备12</t>
  </si>
  <si>
    <t>设备13</t>
  </si>
  <si>
    <t>设备14</t>
  </si>
  <si>
    <t>设备15</t>
  </si>
  <si>
    <t>设备16</t>
  </si>
  <si>
    <t>设备17</t>
  </si>
  <si>
    <t>特种设备</t>
  </si>
  <si>
    <t>套</t>
  </si>
  <si>
    <t>设备18</t>
  </si>
  <si>
    <t>设备19</t>
  </si>
  <si>
    <t>设备20</t>
  </si>
  <si>
    <t>设备21</t>
  </si>
  <si>
    <t>设备22</t>
  </si>
  <si>
    <t>设备23</t>
  </si>
  <si>
    <t>设备24</t>
  </si>
  <si>
    <t>检查结果清单</t>
  </si>
  <si>
    <t>分部工程</t>
  </si>
  <si>
    <t>分项工程</t>
  </si>
  <si>
    <t>故障台数</t>
  </si>
  <si>
    <t>设备完好率</t>
  </si>
  <si>
    <t>设备清单</t>
  </si>
  <si>
    <t>设备名称</t>
  </si>
  <si>
    <t>设备型号</t>
  </si>
  <si>
    <t>设备用途</t>
  </si>
  <si>
    <t>钢卷尺</t>
  </si>
  <si>
    <t>把</t>
  </si>
  <si>
    <t>量尺寸</t>
  </si>
  <si>
    <t>直尺</t>
  </si>
  <si>
    <t>DELI</t>
  </si>
  <si>
    <t>万用表</t>
  </si>
  <si>
    <r>
      <t>福禄克</t>
    </r>
    <r>
      <rPr>
        <sz val="10"/>
        <rFont val="Times New Roman"/>
        <charset val="134"/>
      </rPr>
      <t>18B+</t>
    </r>
  </si>
  <si>
    <t>量电压、电流</t>
  </si>
  <si>
    <t>绝缘表</t>
  </si>
  <si>
    <t>FLUKE 1508</t>
  </si>
  <si>
    <t>测绝缘</t>
  </si>
  <si>
    <t>（一）安全设施</t>
  </si>
  <si>
    <r>
      <rPr>
        <b/>
        <sz val="18"/>
        <rFont val="仿宋_GB2312"/>
        <charset val="134"/>
      </rPr>
      <t>分部工程质量检验评定表</t>
    </r>
  </si>
  <si>
    <t>分部工程名称：安全设施</t>
  </si>
  <si>
    <t>实施单位：</t>
  </si>
  <si>
    <t>所属单位：</t>
  </si>
  <si>
    <t>监督单位：</t>
  </si>
  <si>
    <r>
      <rPr>
        <sz val="10"/>
        <rFont val="仿宋_GB2312"/>
        <charset val="134"/>
      </rPr>
      <t>分</t>
    </r>
    <r>
      <rPr>
        <sz val="10"/>
        <rFont val="Times New Roman"/>
        <charset val="134"/>
      </rPr>
      <t xml:space="preserve">     </t>
    </r>
    <r>
      <rPr>
        <sz val="10"/>
        <rFont val="仿宋_GB2312"/>
        <charset val="134"/>
      </rPr>
      <t>项</t>
    </r>
    <r>
      <rPr>
        <sz val="10"/>
        <rFont val="Times New Roman"/>
        <charset val="134"/>
      </rPr>
      <t xml:space="preserve">    </t>
    </r>
    <r>
      <rPr>
        <sz val="10"/>
        <rFont val="仿宋_GB2312"/>
        <charset val="134"/>
      </rPr>
      <t>工</t>
    </r>
    <r>
      <rPr>
        <sz val="10"/>
        <rFont val="Times New Roman"/>
        <charset val="134"/>
      </rPr>
      <t xml:space="preserve">     </t>
    </r>
    <r>
      <rPr>
        <sz val="10"/>
        <rFont val="仿宋_GB2312"/>
        <charset val="134"/>
      </rPr>
      <t>程</t>
    </r>
  </si>
  <si>
    <r>
      <rPr>
        <sz val="10"/>
        <rFont val="仿宋_GB2312"/>
        <charset val="134"/>
      </rPr>
      <t>备</t>
    </r>
    <r>
      <rPr>
        <sz val="10"/>
        <rFont val="Times New Roman"/>
        <charset val="134"/>
      </rPr>
      <t xml:space="preserve">  </t>
    </r>
    <r>
      <rPr>
        <sz val="10"/>
        <rFont val="仿宋_GB2312"/>
        <charset val="134"/>
      </rPr>
      <t>注</t>
    </r>
  </si>
  <si>
    <t>分项工程编号</t>
  </si>
  <si>
    <r>
      <rPr>
        <sz val="10"/>
        <rFont val="仿宋_GB2312"/>
        <charset val="134"/>
      </rPr>
      <t>分项工程工</t>
    </r>
    <r>
      <rPr>
        <sz val="10"/>
        <rFont val="仿宋_GB2312"/>
        <charset val="134"/>
      </rPr>
      <t>程</t>
    </r>
    <r>
      <rPr>
        <sz val="10"/>
        <rFont val="仿宋_GB2312"/>
        <charset val="134"/>
      </rPr>
      <t>名</t>
    </r>
    <r>
      <rPr>
        <sz val="10"/>
        <rFont val="仿宋_GB2312"/>
        <charset val="134"/>
      </rPr>
      <t>称</t>
    </r>
  </si>
  <si>
    <t>检查项目数</t>
  </si>
  <si>
    <t>分部工程实测得分</t>
  </si>
  <si>
    <r>
      <rPr>
        <sz val="10"/>
        <rFont val="仿宋_GB2312"/>
        <charset val="134"/>
      </rPr>
      <t>外观缺陷扣分</t>
    </r>
  </si>
  <si>
    <r>
      <rPr>
        <sz val="10"/>
        <rFont val="仿宋_GB2312"/>
        <charset val="134"/>
      </rPr>
      <t>资料扣分</t>
    </r>
  </si>
  <si>
    <r>
      <rPr>
        <sz val="10"/>
        <rFont val="仿宋_GB2312"/>
        <charset val="134"/>
      </rPr>
      <t>分部工程评分</t>
    </r>
  </si>
  <si>
    <r>
      <rPr>
        <sz val="10"/>
        <rFont val="仿宋_GB2312"/>
        <charset val="134"/>
      </rPr>
      <t>质量等级</t>
    </r>
  </si>
  <si>
    <r>
      <rPr>
        <sz val="10"/>
        <rFont val="仿宋_GB2312"/>
        <charset val="134"/>
      </rPr>
      <t>合格</t>
    </r>
  </si>
  <si>
    <t>设施名称：消防设施</t>
  </si>
  <si>
    <t>检查项目</t>
  </si>
  <si>
    <t>技术要求</t>
  </si>
  <si>
    <t>测试点单项结果</t>
  </si>
  <si>
    <t>汇总列</t>
  </si>
  <si>
    <t>灭火器配置是否符合要求</t>
  </si>
  <si>
    <t>符合</t>
  </si>
  <si>
    <t>消火栓是否完好有效</t>
  </si>
  <si>
    <t>应急照明</t>
  </si>
  <si>
    <t>应急照明是否正常工作</t>
  </si>
  <si>
    <t>疏散标志</t>
  </si>
  <si>
    <t>疏散指示标志是否清晰可见</t>
  </si>
  <si>
    <t>是否故障</t>
  </si>
  <si>
    <t>否</t>
  </si>
  <si>
    <t>备注</t>
  </si>
  <si>
    <t>设施名称：电气安全</t>
  </si>
  <si>
    <t>配电箱</t>
  </si>
  <si>
    <t>配电箱是否规范安装</t>
  </si>
  <si>
    <t>线路</t>
  </si>
  <si>
    <t>线路敷设是否符合安全要求</t>
  </si>
  <si>
    <t>接地保护</t>
  </si>
  <si>
    <t>接地保护是否可靠</t>
  </si>
  <si>
    <t>接地电阻＜4Ω</t>
  </si>
  <si>
    <t>漏电保护器是否正常工作</t>
  </si>
  <si>
    <t>设施名称：防护设施</t>
  </si>
  <si>
    <t>警示</t>
  </si>
  <si>
    <t>安全警示标志是否齐全</t>
  </si>
  <si>
    <t>防护栏杆是否牢固</t>
  </si>
  <si>
    <t>防护</t>
  </si>
  <si>
    <t>安全网是否完好</t>
  </si>
  <si>
    <t>用品</t>
  </si>
  <si>
    <t>防护用品是否配备齐全</t>
  </si>
  <si>
    <t>（二）生产设备</t>
  </si>
  <si>
    <t>分部工程名称：生产设备</t>
  </si>
  <si>
    <t>设施名称：机械设备</t>
  </si>
  <si>
    <t>总体</t>
  </si>
  <si>
    <t>设备运行状态是否正常</t>
  </si>
  <si>
    <t>安全防护装置是否完好</t>
  </si>
  <si>
    <t>记录</t>
  </si>
  <si>
    <t>设备维护记录是否完整</t>
  </si>
  <si>
    <t>环境</t>
  </si>
  <si>
    <t>操作规程是否上墙</t>
  </si>
  <si>
    <t>测试结果列宽10</t>
  </si>
  <si>
    <t>设施名称：特种设备</t>
  </si>
  <si>
    <t>锅炉</t>
  </si>
  <si>
    <t>锅炉安全检查是否合格</t>
  </si>
  <si>
    <t>压力容器定期检验是否合格</t>
  </si>
  <si>
    <t>起重设备</t>
  </si>
  <si>
    <t>起重设备安全装置是否可靠</t>
  </si>
  <si>
    <t>基础</t>
  </si>
  <si>
    <t>电梯安全运行是否正常</t>
  </si>
  <si>
    <t>设施名称：仪器仪表</t>
  </si>
  <si>
    <t>检测仪器是否按期检定</t>
  </si>
  <si>
    <t>仪表显示是否准确</t>
  </si>
  <si>
    <t>安全附件是否完好</t>
  </si>
  <si>
    <t>使用记录是否完整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</si>
</sst>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"/>
    <numFmt numFmtId="178" formatCode="0.00_);[Red]\(0.00\)"/>
  </numFmts>
  <fonts count="45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宋体"/>
      <charset val="134"/>
    </font>
    <font>
      <sz val="10.5"/>
      <color theme="1"/>
      <name val="宋体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2"/>
      <name val="仿宋_GB2312"/>
      <charset val="134"/>
    </font>
    <font>
      <b/>
      <sz val="18"/>
      <name val="Times New Roman"/>
      <charset val="134"/>
    </font>
    <font>
      <sz val="10"/>
      <name val="仿宋_GB2312"/>
      <charset val="134"/>
    </font>
    <font>
      <sz val="10"/>
      <color indexed="8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36"/>
      <color theme="1"/>
      <name val="宋体"/>
      <charset val="134"/>
    </font>
    <font>
      <sz val="10.5"/>
      <color theme="1"/>
      <name val="Times New Roman"/>
      <charset val="134"/>
    </font>
    <font>
      <b/>
      <sz val="18"/>
      <name val="仿宋_GB2312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36"/>
      <color theme="1"/>
      <name val="Times New Roman"/>
      <charset val="134"/>
    </font>
    <font>
      <sz val="11"/>
      <color theme="1"/>
      <name val="Times New Roman"/>
      <charset val="134"/>
    </font>
    <font>
      <b/>
      <sz val="36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20" applyNumberFormat="0" applyAlignment="0" applyProtection="0">
      <alignment vertical="center"/>
    </xf>
    <xf numFmtId="0" fontId="34" fillId="7" borderId="21" applyNumberFormat="0" applyAlignment="0" applyProtection="0">
      <alignment vertical="center"/>
    </xf>
    <xf numFmtId="0" fontId="35" fillId="7" borderId="20" applyNumberFormat="0" applyAlignment="0" applyProtection="0">
      <alignment vertical="center"/>
    </xf>
    <xf numFmtId="0" fontId="36" fillId="8" borderId="22" applyNumberFormat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18" fillId="0" borderId="0"/>
    <xf numFmtId="0" fontId="0" fillId="0" borderId="0"/>
  </cellStyleXfs>
  <cellXfs count="102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0" xfId="49" applyNumberFormat="1" applyFont="1" applyFill="1"/>
    <xf numFmtId="0" fontId="7" fillId="0" borderId="0" xfId="49" applyNumberFormat="1" applyFont="1" applyFill="1" applyAlignment="1">
      <alignment horizontal="left" vertical="top"/>
    </xf>
    <xf numFmtId="0" fontId="7" fillId="0" borderId="0" xfId="49" applyNumberFormat="1" applyFont="1" applyFill="1"/>
    <xf numFmtId="0" fontId="0" fillId="0" borderId="0" xfId="0" applyNumberFormat="1" applyFill="1" applyAlignment="1"/>
    <xf numFmtId="0" fontId="8" fillId="0" borderId="0" xfId="49" applyNumberFormat="1" applyFont="1" applyFill="1"/>
    <xf numFmtId="0" fontId="9" fillId="0" borderId="0" xfId="49" applyNumberFormat="1" applyFont="1" applyFill="1" applyAlignment="1">
      <alignment horizontal="center"/>
    </xf>
    <xf numFmtId="0" fontId="6" fillId="0" borderId="0" xfId="49" applyNumberFormat="1" applyFont="1" applyFill="1" applyAlignment="1">
      <alignment horizontal="center"/>
    </xf>
    <xf numFmtId="0" fontId="10" fillId="0" borderId="0" xfId="49" applyNumberFormat="1" applyFont="1" applyFill="1" applyAlignment="1">
      <alignment horizontal="center" vertical="center"/>
    </xf>
    <xf numFmtId="0" fontId="11" fillId="0" borderId="0" xfId="49" applyNumberFormat="1" applyFont="1" applyFill="1" applyAlignment="1">
      <alignment horizontal="left" vertical="center"/>
    </xf>
    <xf numFmtId="0" fontId="11" fillId="0" borderId="0" xfId="49" applyNumberFormat="1" applyFont="1" applyFill="1" applyBorder="1" applyAlignment="1">
      <alignment horizontal="left" vertical="center" wrapText="1"/>
    </xf>
    <xf numFmtId="0" fontId="11" fillId="0" borderId="0" xfId="49" applyNumberFormat="1" applyFont="1" applyFill="1" applyAlignment="1">
      <alignment horizontal="left" vertical="top" wrapText="1"/>
    </xf>
    <xf numFmtId="0" fontId="12" fillId="0" borderId="4" xfId="50" applyNumberFormat="1" applyFont="1" applyBorder="1" applyAlignment="1">
      <alignment horizontal="left" vertical="top" wrapText="1"/>
    </xf>
    <xf numFmtId="0" fontId="7" fillId="0" borderId="5" xfId="49" applyNumberFormat="1" applyFont="1" applyFill="1" applyBorder="1" applyAlignment="1" applyProtection="1">
      <alignment horizontal="center" vertical="center"/>
    </xf>
    <xf numFmtId="0" fontId="7" fillId="0" borderId="6" xfId="49" applyNumberFormat="1" applyFont="1" applyFill="1" applyBorder="1" applyAlignment="1" applyProtection="1">
      <alignment horizontal="center" vertical="center"/>
    </xf>
    <xf numFmtId="0" fontId="7" fillId="0" borderId="7" xfId="49" applyNumberFormat="1" applyFont="1" applyFill="1" applyBorder="1" applyAlignment="1" applyProtection="1">
      <alignment horizontal="center" vertical="center"/>
    </xf>
    <xf numFmtId="0" fontId="7" fillId="0" borderId="1" xfId="49" applyNumberFormat="1" applyFont="1" applyFill="1" applyBorder="1" applyAlignment="1" applyProtection="1">
      <alignment horizontal="center" vertical="center"/>
    </xf>
    <xf numFmtId="0" fontId="11" fillId="0" borderId="1" xfId="49" applyNumberFormat="1" applyFont="1" applyFill="1" applyBorder="1" applyAlignment="1" applyProtection="1">
      <alignment vertical="center"/>
    </xf>
    <xf numFmtId="0" fontId="11" fillId="0" borderId="5" xfId="49" applyNumberFormat="1" applyFont="1" applyFill="1" applyBorder="1" applyAlignment="1" applyProtection="1">
      <alignment horizontal="center" vertical="center"/>
    </xf>
    <xf numFmtId="0" fontId="11" fillId="0" borderId="7" xfId="49" applyNumberFormat="1" applyFont="1" applyFill="1" applyBorder="1" applyAlignment="1" applyProtection="1">
      <alignment horizontal="center" vertical="center"/>
    </xf>
    <xf numFmtId="0" fontId="11" fillId="0" borderId="7" xfId="49" applyNumberFormat="1" applyFont="1" applyFill="1" applyBorder="1" applyAlignment="1" applyProtection="1">
      <alignment horizontal="center" vertical="center" wrapText="1"/>
    </xf>
    <xf numFmtId="0" fontId="11" fillId="0" borderId="1" xfId="49" applyNumberFormat="1" applyFont="1" applyFill="1" applyBorder="1" applyAlignment="1" applyProtection="1">
      <alignment horizontal="center" vertical="center"/>
    </xf>
    <xf numFmtId="0" fontId="7" fillId="0" borderId="1" xfId="49" applyNumberFormat="1" applyFont="1" applyFill="1" applyBorder="1" applyAlignment="1" applyProtection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176" fontId="7" fillId="0" borderId="1" xfId="49" applyNumberFormat="1" applyFont="1" applyFill="1" applyBorder="1" applyAlignment="1" applyProtection="1">
      <alignment horizontal="center" vertical="center"/>
    </xf>
    <xf numFmtId="9" fontId="7" fillId="0" borderId="1" xfId="3" applyFont="1" applyFill="1" applyBorder="1" applyAlignment="1" applyProtection="1">
      <alignment horizontal="center" vertical="center"/>
    </xf>
    <xf numFmtId="0" fontId="14" fillId="0" borderId="6" xfId="0" applyNumberFormat="1" applyFont="1" applyFill="1" applyBorder="1" applyAlignment="1">
      <alignment horizontal="center" vertical="center"/>
    </xf>
    <xf numFmtId="9" fontId="7" fillId="0" borderId="5" xfId="3" applyFont="1" applyFill="1" applyBorder="1" applyAlignment="1" applyProtection="1">
      <alignment horizontal="center" vertical="center"/>
    </xf>
    <xf numFmtId="9" fontId="7" fillId="0" borderId="6" xfId="3" applyFont="1" applyFill="1" applyBorder="1" applyAlignment="1" applyProtection="1">
      <alignment horizontal="center" vertical="center"/>
    </xf>
    <xf numFmtId="9" fontId="7" fillId="0" borderId="7" xfId="3" applyFont="1" applyFill="1" applyBorder="1" applyAlignment="1" applyProtection="1">
      <alignment horizontal="center" vertical="center"/>
    </xf>
    <xf numFmtId="1" fontId="14" fillId="0" borderId="6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horizontal="center" vertical="center"/>
    </xf>
    <xf numFmtId="0" fontId="7" fillId="0" borderId="6" xfId="49" applyNumberFormat="1" applyFont="1" applyFill="1" applyBorder="1" applyAlignment="1">
      <alignment horizontal="center" vertical="center"/>
    </xf>
    <xf numFmtId="0" fontId="7" fillId="0" borderId="7" xfId="49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11" fillId="0" borderId="5" xfId="49" applyNumberFormat="1" applyFont="1" applyFill="1" applyBorder="1" applyAlignment="1" applyProtection="1">
      <alignment horizontal="center" vertical="center" wrapText="1"/>
    </xf>
    <xf numFmtId="0" fontId="7" fillId="0" borderId="6" xfId="49" applyNumberFormat="1" applyFont="1" applyFill="1" applyBorder="1" applyAlignment="1" applyProtection="1">
      <alignment horizontal="center" vertical="center" wrapText="1"/>
    </xf>
    <xf numFmtId="0" fontId="7" fillId="0" borderId="7" xfId="49" applyNumberFormat="1" applyFont="1" applyFill="1" applyBorder="1" applyAlignment="1" applyProtection="1">
      <alignment horizontal="center" vertical="center" wrapText="1"/>
    </xf>
    <xf numFmtId="177" fontId="7" fillId="0" borderId="5" xfId="49" applyNumberFormat="1" applyFont="1" applyFill="1" applyBorder="1" applyAlignment="1">
      <alignment horizontal="center" vertical="center"/>
    </xf>
    <xf numFmtId="177" fontId="7" fillId="0" borderId="6" xfId="49" applyNumberFormat="1" applyFont="1" applyFill="1" applyBorder="1" applyAlignment="1">
      <alignment horizontal="center" vertical="center"/>
    </xf>
    <xf numFmtId="177" fontId="7" fillId="0" borderId="7" xfId="49" applyNumberFormat="1" applyFont="1" applyFill="1" applyBorder="1" applyAlignment="1">
      <alignment horizontal="center" vertical="center"/>
    </xf>
    <xf numFmtId="0" fontId="7" fillId="0" borderId="5" xfId="49" applyNumberFormat="1" applyFont="1" applyFill="1" applyBorder="1" applyAlignment="1" applyProtection="1">
      <alignment horizontal="center" vertical="center" wrapText="1"/>
    </xf>
    <xf numFmtId="177" fontId="7" fillId="0" borderId="1" xfId="49" applyNumberFormat="1" applyFont="1" applyFill="1" applyBorder="1" applyAlignment="1" applyProtection="1">
      <alignment horizontal="center" vertical="center"/>
    </xf>
    <xf numFmtId="177" fontId="7" fillId="0" borderId="7" xfId="49" applyNumberFormat="1" applyFont="1" applyFill="1" applyBorder="1" applyAlignment="1" applyProtection="1">
      <alignment horizontal="center" vertical="center"/>
    </xf>
    <xf numFmtId="177" fontId="14" fillId="0" borderId="6" xfId="0" applyNumberFormat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7" fillId="0" borderId="0" xfId="49" applyNumberFormat="1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8" fillId="0" borderId="1" xfId="49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8" fillId="0" borderId="1" xfId="49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10" fontId="23" fillId="2" borderId="12" xfId="0" applyNumberFormat="1" applyFont="1" applyFill="1" applyBorder="1" applyAlignment="1">
      <alignment vertical="center" wrapText="1"/>
    </xf>
    <xf numFmtId="0" fontId="23" fillId="2" borderId="13" xfId="0" applyFont="1" applyFill="1" applyBorder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0" fontId="21" fillId="3" borderId="1" xfId="0" applyNumberFormat="1" applyFont="1" applyFill="1" applyBorder="1" applyAlignment="1">
      <alignment horizontal="center" vertical="center"/>
    </xf>
    <xf numFmtId="10" fontId="21" fillId="0" borderId="5" xfId="0" applyNumberFormat="1" applyFont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0" fontId="23" fillId="4" borderId="15" xfId="0" applyNumberFormat="1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178" fontId="21" fillId="3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 2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H19"/>
  <sheetViews>
    <sheetView zoomScale="85" zoomScaleNormal="85" workbookViewId="0">
      <pane ySplit="9" topLeftCell="A10" activePane="bottomLeft" state="frozen"/>
      <selection/>
      <selection pane="bottomLeft" activeCell="E19" sqref="E19"/>
    </sheetView>
  </sheetViews>
  <sheetFormatPr defaultColWidth="9" defaultRowHeight="15" customHeight="1" outlineLevelCol="7"/>
  <cols>
    <col min="1" max="1" width="10.625" style="81" customWidth="1"/>
    <col min="2" max="2" width="35.625" style="81" customWidth="1"/>
    <col min="3" max="4" width="10.625" style="81" customWidth="1"/>
    <col min="5" max="6" width="14.4083333333333" style="81" customWidth="1"/>
    <col min="7" max="8" width="10.625" style="81" customWidth="1"/>
    <col min="9" max="16384" width="9" style="81"/>
  </cols>
  <sheetData>
    <row r="1" s="80" customFormat="1" ht="10" customHeight="1" spans="1:8">
      <c r="A1" s="82" t="s">
        <v>0</v>
      </c>
      <c r="B1" s="82"/>
      <c r="C1" s="82"/>
      <c r="D1" s="82"/>
      <c r="E1" s="82"/>
      <c r="F1" s="82"/>
    </row>
    <row r="2" s="80" customFormat="1" ht="10" customHeight="1" spans="1:8">
      <c r="A2" s="82"/>
      <c r="B2" s="82"/>
      <c r="C2" s="82"/>
      <c r="D2" s="82"/>
      <c r="E2" s="82"/>
      <c r="F2" s="82"/>
    </row>
    <row r="3" s="80" customFormat="1" ht="10" customHeight="1" spans="1:8">
      <c r="A3" s="82"/>
      <c r="B3" s="82"/>
      <c r="C3" s="82"/>
      <c r="D3" s="82"/>
      <c r="E3" s="82"/>
      <c r="F3" s="82"/>
    </row>
    <row r="4" s="80" customFormat="1" ht="10" customHeight="1" spans="1:8">
      <c r="A4" s="82"/>
      <c r="B4" s="82"/>
      <c r="C4" s="82"/>
      <c r="D4" s="82"/>
      <c r="E4" s="82"/>
      <c r="F4" s="82"/>
    </row>
    <row r="5" s="80" customFormat="1" ht="10" customHeight="1" spans="1:8">
      <c r="A5" s="82"/>
      <c r="B5" s="82"/>
      <c r="C5" s="82"/>
      <c r="D5" s="82"/>
      <c r="E5" s="82"/>
      <c r="F5" s="82"/>
    </row>
    <row r="6" s="80" customFormat="1" ht="10" customHeight="1" spans="1:8">
      <c r="A6" s="82"/>
      <c r="B6" s="82"/>
      <c r="C6" s="82"/>
      <c r="D6" s="82"/>
      <c r="E6" s="82"/>
      <c r="F6" s="82"/>
    </row>
    <row r="7" s="80" customFormat="1" ht="10" customHeight="1" spans="1:8">
      <c r="A7" s="82"/>
      <c r="B7" s="82"/>
      <c r="C7" s="82"/>
      <c r="D7" s="82"/>
      <c r="E7" s="82"/>
      <c r="F7" s="82"/>
    </row>
    <row r="8" s="80" customFormat="1" ht="10" customHeight="1" spans="1:8">
      <c r="A8" s="82"/>
      <c r="B8" s="82"/>
      <c r="C8" s="82"/>
      <c r="D8" s="82"/>
      <c r="E8" s="82"/>
      <c r="F8" s="82"/>
    </row>
    <row r="9" ht="20" customHeight="1" spans="1:8">
      <c r="A9" s="83" t="s">
        <v>1</v>
      </c>
      <c r="B9" s="83" t="s">
        <v>2</v>
      </c>
      <c r="C9" s="83" t="s">
        <v>3</v>
      </c>
      <c r="D9" s="83" t="s">
        <v>4</v>
      </c>
      <c r="E9" s="83" t="s">
        <v>5</v>
      </c>
      <c r="F9" s="83"/>
      <c r="G9" s="84"/>
      <c r="H9" s="84"/>
    </row>
    <row r="10" ht="20" customHeight="1" spans="1:8">
      <c r="A10" s="85" t="s">
        <v>6</v>
      </c>
      <c r="B10" s="86"/>
      <c r="C10" s="86"/>
      <c r="D10" s="87"/>
      <c r="E10" s="88">
        <f>IF(MIN(E11:E12)&lt;=MIN(E13),MIN(E11:E12),1-SUM(D11:D13)/SUM(C11:C13))</f>
        <v>1</v>
      </c>
      <c r="F10" s="89"/>
    </row>
    <row r="11" ht="20" customHeight="1" spans="1:8">
      <c r="A11" s="90">
        <v>1</v>
      </c>
      <c r="B11" s="91" t="s">
        <v>7</v>
      </c>
      <c r="C11" s="92">
        <f>COUNTA(消防设施!D3:I3)-COUNTIF(消防设施!D3:I3,"/")</f>
        <v>2</v>
      </c>
      <c r="D11" s="92">
        <f>C11*(1-E11)</f>
        <v>0</v>
      </c>
      <c r="E11" s="93">
        <f>'分部工程-安全设施'!E7</f>
        <v>1</v>
      </c>
      <c r="F11" s="94" t="str">
        <f>IF(E11="/","/",IF(E11&gt;=98%,"0",IF(E11&gt;=93%,"1",IF(E11&gt;=85%,"2","3"))))</f>
        <v>0</v>
      </c>
    </row>
    <row r="12" ht="20" customHeight="1" spans="1:8">
      <c r="A12" s="90">
        <v>2</v>
      </c>
      <c r="B12" s="91" t="s">
        <v>8</v>
      </c>
      <c r="C12" s="92">
        <f>COUNTA(电气安全!D3:I3)-COUNTIF(电气安全!D3:I3,"/")</f>
        <v>1</v>
      </c>
      <c r="D12" s="92">
        <f>C12*(1-E12)</f>
        <v>0</v>
      </c>
      <c r="E12" s="93">
        <f>'分部工程-安全设施'!E8</f>
        <v>1</v>
      </c>
      <c r="F12" s="94" t="str">
        <f>IF(E12="/","/",IF(E12&gt;=98%,"0",IF(E12&gt;=93%,"1",IF(E12&gt;=85%,"2","3"))))</f>
        <v>0</v>
      </c>
    </row>
    <row r="13" ht="20" customHeight="1" spans="1:8">
      <c r="A13" s="90">
        <v>3</v>
      </c>
      <c r="B13" s="91" t="s">
        <v>9</v>
      </c>
      <c r="C13" s="92">
        <f>COUNTA(防护设施!D3:I3)-COUNTIF(防护设施!D3:I3,"/")</f>
        <v>1</v>
      </c>
      <c r="D13" s="92">
        <f>C13*(1-E13)</f>
        <v>0</v>
      </c>
      <c r="E13" s="93">
        <f>'分部工程-安全设施'!E9</f>
        <v>1</v>
      </c>
      <c r="F13" s="94" t="str">
        <f>IF(E13="/","/",IF(E13&gt;=98%,"0",IF(E13&gt;=93%,"1",IF(E13&gt;=85%,"2","3"))))</f>
        <v>0</v>
      </c>
    </row>
    <row r="14" ht="20" customHeight="1" spans="1:8">
      <c r="A14" s="95" t="s">
        <v>10</v>
      </c>
      <c r="B14" s="96"/>
      <c r="C14" s="96">
        <f>SUM(C11:C13)</f>
        <v>4</v>
      </c>
      <c r="D14" s="96">
        <f>SUM(D11:D13)</f>
        <v>0</v>
      </c>
      <c r="E14" s="93">
        <f>IF(OR(C14=0,C14="/"),"/",1-D14/C14)</f>
        <v>1</v>
      </c>
      <c r="F14" s="97"/>
    </row>
    <row r="15" ht="20" customHeight="1" spans="1:8">
      <c r="A15" s="85" t="s">
        <v>11</v>
      </c>
      <c r="B15" s="86"/>
      <c r="C15" s="86"/>
      <c r="D15" s="87"/>
      <c r="E15" s="88">
        <f>IF(MIN(E16:E17)&lt;=MIN(E18),MIN(E16:E17),1-SUM(D16:D18)/SUM(C16:C18))</f>
        <v>0.5</v>
      </c>
      <c r="F15" s="89"/>
    </row>
    <row r="16" ht="20" customHeight="1" spans="1:8">
      <c r="A16" s="90">
        <v>1</v>
      </c>
      <c r="B16" s="91" t="s">
        <v>12</v>
      </c>
      <c r="C16" s="92">
        <f>COUNTA(机械设备!D3:U3)-COUNTIF(机械设备!D3:U3,"/")</f>
        <v>17</v>
      </c>
      <c r="D16" s="92">
        <v>1</v>
      </c>
      <c r="E16" s="93">
        <v>0.9412</v>
      </c>
      <c r="F16" s="94" t="str">
        <f t="shared" ref="F16:F18" si="0">IF(E16="/","/",IF(E16&gt;=95%,"0",IF(E16&gt;=86%,"1",IF(E16&gt;=74%,"2","3"))))</f>
        <v>1</v>
      </c>
    </row>
    <row r="17" ht="20" customHeight="1" spans="1:6">
      <c r="A17" s="90">
        <v>2</v>
      </c>
      <c r="B17" s="91" t="s">
        <v>13</v>
      </c>
      <c r="C17" s="92">
        <f>COUNTA(特种设备!D3:AA3)-COUNTIF(特种设备!D3:AA3,"/")</f>
        <v>24</v>
      </c>
      <c r="D17" s="92">
        <v>12</v>
      </c>
      <c r="E17" s="93">
        <v>0.5</v>
      </c>
      <c r="F17" s="94" t="str">
        <f t="shared" si="0"/>
        <v>3</v>
      </c>
    </row>
    <row r="18" ht="20" customHeight="1" spans="1:6">
      <c r="A18" s="90">
        <v>3</v>
      </c>
      <c r="B18" s="91" t="s">
        <v>14</v>
      </c>
      <c r="C18" s="92">
        <f>COUNTA(仪器仪表!D3:I3)+COUNTA(仪器仪表!D12:I12)-COUNTIF(仪器仪表!D3:I3,"/")-COUNTIF(仪器仪表!D12:I12,"/")</f>
        <v>11</v>
      </c>
      <c r="D18" s="92">
        <v>1</v>
      </c>
      <c r="E18" s="93">
        <v>0.9091</v>
      </c>
      <c r="F18" s="94" t="str">
        <f t="shared" si="0"/>
        <v>1</v>
      </c>
    </row>
    <row r="19" ht="20" customHeight="1" spans="1:6">
      <c r="A19" s="98" t="s">
        <v>10</v>
      </c>
      <c r="B19" s="99"/>
      <c r="C19" s="99"/>
      <c r="D19" s="100"/>
      <c r="E19" s="101">
        <f>(E10+E15)/2</f>
        <v>0.75</v>
      </c>
      <c r="F19" s="97"/>
    </row>
  </sheetData>
  <mergeCells count="5">
    <mergeCell ref="A10:D10"/>
    <mergeCell ref="A14:B14"/>
    <mergeCell ref="A15:D15"/>
    <mergeCell ref="A19:D19"/>
    <mergeCell ref="A1:F8"/>
  </mergeCells>
  <pageMargins left="0.75" right="0.75" top="1" bottom="1" header="0.5" footer="0.5"/>
  <pageSetup paperSize="9" scale="3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J17"/>
  <sheetViews>
    <sheetView view="pageBreakPreview" zoomScaleNormal="85" workbookViewId="0">
      <selection activeCell="A8" sqref="A8:J8"/>
    </sheetView>
  </sheetViews>
  <sheetFormatPr defaultColWidth="9" defaultRowHeight="14.25" customHeight="1"/>
  <cols>
    <col min="1" max="1" width="11.625" style="18" customWidth="1"/>
    <col min="2" max="2" width="14.75" style="18" customWidth="1"/>
    <col min="3" max="3" width="8.90833333333333" style="18" customWidth="1"/>
    <col min="4" max="4" width="8.25" style="18" customWidth="1"/>
    <col min="5" max="5" width="8.5" style="18" customWidth="1"/>
    <col min="6" max="16384" width="9" style="18"/>
  </cols>
  <sheetData>
    <row r="1" s="14" customFormat="1" ht="20.1" customHeight="1" spans="1:10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</row>
    <row r="2" s="14" customFormat="1" ht="30" customHeight="1" spans="1:10">
      <c r="A2" s="70" t="s">
        <v>16</v>
      </c>
      <c r="B2" s="70"/>
      <c r="C2" s="70"/>
      <c r="D2" s="70"/>
      <c r="E2" s="70"/>
      <c r="F2" s="70"/>
      <c r="G2" s="70"/>
      <c r="H2" s="70"/>
      <c r="I2" s="70"/>
      <c r="J2" s="70"/>
    </row>
    <row r="3" s="15" customFormat="1" ht="25" customHeight="1" spans="1:10">
      <c r="A3" s="79" t="s">
        <v>17</v>
      </c>
      <c r="B3" s="79" t="s">
        <v>18</v>
      </c>
      <c r="C3" s="79" t="s">
        <v>19</v>
      </c>
      <c r="D3" s="79" t="s">
        <v>20</v>
      </c>
      <c r="E3" s="79" t="s">
        <v>21</v>
      </c>
      <c r="F3" s="79"/>
      <c r="G3" s="79"/>
      <c r="H3" s="79"/>
      <c r="I3" s="79"/>
      <c r="J3" s="79"/>
    </row>
    <row r="4" s="16" customFormat="1" ht="25" customHeight="1" spans="1:10">
      <c r="A4" s="79" t="s">
        <v>22</v>
      </c>
      <c r="B4" s="79"/>
      <c r="C4" s="79"/>
      <c r="D4" s="79"/>
      <c r="E4" s="79"/>
      <c r="F4" s="79"/>
      <c r="G4" s="79"/>
      <c r="H4" s="79"/>
      <c r="I4" s="79"/>
      <c r="J4" s="79"/>
    </row>
    <row r="5" s="16" customFormat="1" ht="25" customHeight="1" spans="1:10">
      <c r="A5" s="4">
        <v>1</v>
      </c>
      <c r="B5" s="4" t="s">
        <v>23</v>
      </c>
      <c r="C5" s="4" t="s">
        <v>24</v>
      </c>
      <c r="D5" s="4">
        <v>2</v>
      </c>
      <c r="E5" s="4" t="s">
        <v>25</v>
      </c>
      <c r="F5" s="4" t="s">
        <v>26</v>
      </c>
      <c r="G5" s="4" t="s">
        <v>27</v>
      </c>
      <c r="H5" s="4" t="s">
        <v>27</v>
      </c>
      <c r="I5" s="4" t="s">
        <v>27</v>
      </c>
      <c r="J5" s="4" t="s">
        <v>27</v>
      </c>
    </row>
    <row r="6" s="16" customFormat="1" ht="25" customHeight="1" spans="1:10">
      <c r="A6" s="4">
        <v>2</v>
      </c>
      <c r="B6" s="4" t="s">
        <v>28</v>
      </c>
      <c r="C6" s="4" t="s">
        <v>29</v>
      </c>
      <c r="D6" s="4">
        <v>1</v>
      </c>
      <c r="E6" s="4" t="s">
        <v>25</v>
      </c>
      <c r="F6" s="4" t="s">
        <v>27</v>
      </c>
      <c r="G6" s="4" t="s">
        <v>27</v>
      </c>
      <c r="H6" s="4" t="s">
        <v>27</v>
      </c>
      <c r="I6" s="4" t="s">
        <v>27</v>
      </c>
      <c r="J6" s="4" t="s">
        <v>27</v>
      </c>
    </row>
    <row r="7" s="16" customFormat="1" ht="25" customHeight="1" spans="1:10">
      <c r="A7" s="4">
        <v>3</v>
      </c>
      <c r="B7" s="4" t="s">
        <v>9</v>
      </c>
      <c r="C7" s="4" t="s">
        <v>29</v>
      </c>
      <c r="D7" s="4">
        <v>1</v>
      </c>
      <c r="E7" s="4" t="s">
        <v>25</v>
      </c>
      <c r="F7" s="4" t="s">
        <v>27</v>
      </c>
      <c r="G7" s="4" t="s">
        <v>27</v>
      </c>
      <c r="H7" s="4" t="s">
        <v>27</v>
      </c>
      <c r="I7" s="4" t="s">
        <v>27</v>
      </c>
      <c r="J7" s="4" t="s">
        <v>27</v>
      </c>
    </row>
    <row r="8" ht="25" customHeight="1" spans="1:10">
      <c r="A8" s="79" t="s">
        <v>30</v>
      </c>
      <c r="B8" s="79"/>
      <c r="C8" s="79"/>
      <c r="D8" s="79"/>
      <c r="E8" s="79"/>
      <c r="F8" s="79"/>
      <c r="G8" s="79"/>
      <c r="H8" s="79"/>
      <c r="I8" s="79"/>
      <c r="J8" s="79"/>
    </row>
    <row r="9" ht="25" customHeight="1" spans="1:10">
      <c r="A9" s="4">
        <v>1</v>
      </c>
      <c r="B9" s="4" t="s">
        <v>31</v>
      </c>
      <c r="C9" s="4" t="s">
        <v>24</v>
      </c>
      <c r="D9" s="4">
        <v>17</v>
      </c>
      <c r="E9" s="4" t="s">
        <v>32</v>
      </c>
      <c r="F9" s="4" t="s">
        <v>33</v>
      </c>
      <c r="G9" s="4" t="s">
        <v>34</v>
      </c>
      <c r="H9" s="4" t="s">
        <v>35</v>
      </c>
      <c r="I9" s="4" t="s">
        <v>36</v>
      </c>
      <c r="J9" s="4" t="s">
        <v>37</v>
      </c>
    </row>
    <row r="10" ht="25" customHeight="1" spans="1:10">
      <c r="A10" s="4"/>
      <c r="B10" s="4"/>
      <c r="C10" s="4"/>
      <c r="D10" s="4"/>
      <c r="E10" s="4" t="s">
        <v>38</v>
      </c>
      <c r="F10" s="4" t="s">
        <v>39</v>
      </c>
      <c r="G10" s="4" t="s">
        <v>40</v>
      </c>
      <c r="H10" s="4" t="s">
        <v>41</v>
      </c>
      <c r="I10" s="4" t="s">
        <v>42</v>
      </c>
      <c r="J10" s="4" t="s">
        <v>43</v>
      </c>
    </row>
    <row r="11" ht="25" customHeight="1" spans="1:10">
      <c r="A11" s="4"/>
      <c r="B11" s="4"/>
      <c r="C11" s="4"/>
      <c r="D11" s="4"/>
      <c r="E11" s="4" t="s">
        <v>44</v>
      </c>
      <c r="F11" s="4" t="s">
        <v>45</v>
      </c>
      <c r="G11" s="4" t="s">
        <v>46</v>
      </c>
      <c r="H11" s="4" t="s">
        <v>47</v>
      </c>
      <c r="I11" s="4" t="s">
        <v>48</v>
      </c>
      <c r="J11" s="4" t="s">
        <v>27</v>
      </c>
    </row>
    <row r="12" ht="25" customHeight="1" spans="1:10">
      <c r="A12" s="4">
        <v>2</v>
      </c>
      <c r="B12" s="4" t="s">
        <v>49</v>
      </c>
      <c r="C12" s="4" t="s">
        <v>50</v>
      </c>
      <c r="D12" s="4">
        <v>24</v>
      </c>
      <c r="E12" s="4" t="s">
        <v>32</v>
      </c>
      <c r="F12" s="4" t="s">
        <v>33</v>
      </c>
      <c r="G12" s="4" t="s">
        <v>34</v>
      </c>
      <c r="H12" s="4" t="s">
        <v>35</v>
      </c>
      <c r="I12" s="4" t="s">
        <v>36</v>
      </c>
      <c r="J12" s="4" t="s">
        <v>37</v>
      </c>
    </row>
    <row r="13" ht="25" customHeight="1" spans="1:10">
      <c r="A13" s="4"/>
      <c r="B13" s="4"/>
      <c r="C13" s="4"/>
      <c r="D13" s="4"/>
      <c r="E13" s="4" t="s">
        <v>38</v>
      </c>
      <c r="F13" s="4" t="s">
        <v>39</v>
      </c>
      <c r="G13" s="4" t="s">
        <v>40</v>
      </c>
      <c r="H13" s="4" t="s">
        <v>41</v>
      </c>
      <c r="I13" s="4" t="s">
        <v>42</v>
      </c>
      <c r="J13" s="4" t="s">
        <v>43</v>
      </c>
    </row>
    <row r="14" ht="25" customHeight="1" spans="1:10">
      <c r="A14" s="4"/>
      <c r="B14" s="4"/>
      <c r="C14" s="4"/>
      <c r="D14" s="4"/>
      <c r="E14" s="4" t="s">
        <v>44</v>
      </c>
      <c r="F14" s="4" t="s">
        <v>45</v>
      </c>
      <c r="G14" s="4" t="s">
        <v>46</v>
      </c>
      <c r="H14" s="4" t="s">
        <v>47</v>
      </c>
      <c r="I14" s="4" t="s">
        <v>48</v>
      </c>
      <c r="J14" s="4" t="s">
        <v>51</v>
      </c>
    </row>
    <row r="15" ht="25" customHeight="1" spans="1:10">
      <c r="A15" s="4"/>
      <c r="B15" s="4"/>
      <c r="C15" s="4"/>
      <c r="D15" s="4"/>
      <c r="E15" s="4" t="s">
        <v>52</v>
      </c>
      <c r="F15" s="4" t="s">
        <v>53</v>
      </c>
      <c r="G15" s="4" t="s">
        <v>54</v>
      </c>
      <c r="H15" s="4" t="s">
        <v>55</v>
      </c>
      <c r="I15" s="4" t="s">
        <v>56</v>
      </c>
      <c r="J15" s="4" t="s">
        <v>57</v>
      </c>
    </row>
    <row r="16" ht="25" customHeight="1" spans="1:10">
      <c r="A16" s="4">
        <v>3</v>
      </c>
      <c r="B16" s="4" t="s">
        <v>14</v>
      </c>
      <c r="C16" s="4" t="s">
        <v>29</v>
      </c>
      <c r="D16" s="4">
        <v>11</v>
      </c>
      <c r="E16" s="4" t="s">
        <v>32</v>
      </c>
      <c r="F16" s="4" t="s">
        <v>33</v>
      </c>
      <c r="G16" s="4" t="s">
        <v>34</v>
      </c>
      <c r="H16" s="4" t="s">
        <v>35</v>
      </c>
      <c r="I16" s="4" t="s">
        <v>36</v>
      </c>
      <c r="J16" s="4" t="s">
        <v>37</v>
      </c>
    </row>
    <row r="17" ht="25" customHeight="1" spans="1:10">
      <c r="A17" s="4"/>
      <c r="B17" s="4"/>
      <c r="C17" s="4"/>
      <c r="D17" s="4"/>
      <c r="E17" s="4" t="s">
        <v>38</v>
      </c>
      <c r="F17" s="4" t="s">
        <v>39</v>
      </c>
      <c r="G17" s="4" t="s">
        <v>40</v>
      </c>
      <c r="H17" s="4" t="s">
        <v>41</v>
      </c>
      <c r="I17" s="4" t="s">
        <v>42</v>
      </c>
      <c r="J17" s="4" t="s">
        <v>27</v>
      </c>
    </row>
  </sheetData>
  <mergeCells count="17">
    <mergeCell ref="A1:J1"/>
    <mergeCell ref="A2:J2"/>
    <mergeCell ref="E3:J3"/>
    <mergeCell ref="A4:J4"/>
    <mergeCell ref="A8:J8"/>
    <mergeCell ref="A9:A11"/>
    <mergeCell ref="A12:A15"/>
    <mergeCell ref="A16:A17"/>
    <mergeCell ref="B9:B11"/>
    <mergeCell ref="B12:B15"/>
    <mergeCell ref="B16:B17"/>
    <mergeCell ref="C9:C11"/>
    <mergeCell ref="C12:C15"/>
    <mergeCell ref="C16:C17"/>
    <mergeCell ref="D9:D11"/>
    <mergeCell ref="D12:D15"/>
    <mergeCell ref="D16:D17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landscape" errors="blank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F0"/>
  </sheetPr>
  <dimension ref="A1:E9"/>
  <sheetViews>
    <sheetView view="pageBreakPreview" zoomScaleNormal="85" workbookViewId="0">
      <selection activeCell="E7" sqref="E7:E9"/>
    </sheetView>
  </sheetViews>
  <sheetFormatPr defaultColWidth="9" defaultRowHeight="14.25" customHeight="1" outlineLevelCol="4"/>
  <cols>
    <col min="1" max="1" width="11.625" style="18" customWidth="1"/>
    <col min="2" max="2" width="14.75" style="18" customWidth="1"/>
    <col min="3" max="3" width="13.375" style="18" customWidth="1"/>
    <col min="4" max="4" width="8.875" style="18" customWidth="1"/>
    <col min="5" max="5" width="18.25" style="18" customWidth="1"/>
    <col min="6" max="16384" width="9" style="18"/>
  </cols>
  <sheetData>
    <row r="1" s="14" customFormat="1" ht="20.1" customHeight="1" spans="1:5">
      <c r="A1" s="19" t="s">
        <v>15</v>
      </c>
      <c r="B1" s="19"/>
      <c r="C1" s="19"/>
      <c r="D1" s="19"/>
      <c r="E1" s="19"/>
    </row>
    <row r="2" s="14" customFormat="1" ht="30" customHeight="1" spans="1:5">
      <c r="A2" s="70" t="s">
        <v>58</v>
      </c>
      <c r="B2" s="70"/>
      <c r="C2" s="70"/>
      <c r="D2" s="70"/>
      <c r="E2" s="70"/>
    </row>
    <row r="3" s="15" customFormat="1" ht="25" customHeight="1" spans="1:5">
      <c r="A3" s="75" t="s">
        <v>17</v>
      </c>
      <c r="B3" s="75" t="s">
        <v>59</v>
      </c>
      <c r="C3" s="75" t="s">
        <v>60</v>
      </c>
      <c r="D3" s="75" t="s">
        <v>61</v>
      </c>
      <c r="E3" s="75" t="s">
        <v>62</v>
      </c>
    </row>
    <row r="4" s="16" customFormat="1" ht="25" customHeight="1" spans="1:5">
      <c r="A4" s="4">
        <v>1</v>
      </c>
      <c r="B4" s="72" t="s">
        <v>22</v>
      </c>
      <c r="C4" s="4" t="s">
        <v>23</v>
      </c>
      <c r="D4" s="4">
        <v>2</v>
      </c>
      <c r="E4" s="76">
        <v>1</v>
      </c>
    </row>
    <row r="5" s="16" customFormat="1" ht="25" customHeight="1" spans="1:5">
      <c r="A5" s="4">
        <v>2</v>
      </c>
      <c r="B5" s="77"/>
      <c r="C5" s="4" t="s">
        <v>28</v>
      </c>
      <c r="D5" s="4">
        <v>1</v>
      </c>
      <c r="E5" s="76">
        <v>1</v>
      </c>
    </row>
    <row r="6" s="16" customFormat="1" ht="25" customHeight="1" spans="1:5">
      <c r="A6" s="4">
        <v>3</v>
      </c>
      <c r="B6" s="77"/>
      <c r="C6" s="4" t="s">
        <v>9</v>
      </c>
      <c r="D6" s="4">
        <v>1</v>
      </c>
      <c r="E6" s="76">
        <v>1</v>
      </c>
    </row>
    <row r="7" ht="25" customHeight="1" spans="1:5">
      <c r="A7" s="4">
        <v>1</v>
      </c>
      <c r="B7" s="72" t="s">
        <v>30</v>
      </c>
      <c r="C7" s="4" t="s">
        <v>31</v>
      </c>
      <c r="D7" s="4">
        <v>1</v>
      </c>
      <c r="E7" s="78">
        <v>0.9412</v>
      </c>
    </row>
    <row r="8" ht="25" customHeight="1" spans="1:5">
      <c r="A8" s="4">
        <v>2</v>
      </c>
      <c r="B8" s="77"/>
      <c r="C8" s="4" t="s">
        <v>49</v>
      </c>
      <c r="D8" s="4">
        <v>12</v>
      </c>
      <c r="E8" s="76">
        <v>0.5</v>
      </c>
    </row>
    <row r="9" ht="25" customHeight="1" spans="1:5">
      <c r="A9" s="4">
        <v>3</v>
      </c>
      <c r="B9" s="77"/>
      <c r="C9" s="4" t="s">
        <v>14</v>
      </c>
      <c r="D9" s="4">
        <v>1</v>
      </c>
      <c r="E9" s="78">
        <v>0.9091</v>
      </c>
    </row>
  </sheetData>
  <mergeCells count="4">
    <mergeCell ref="A1:E1"/>
    <mergeCell ref="A2:E2"/>
    <mergeCell ref="B4:B6"/>
    <mergeCell ref="B7:B9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landscape" errors="blank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00B0F0"/>
  </sheetPr>
  <dimension ref="A1:F7"/>
  <sheetViews>
    <sheetView tabSelected="1" view="pageBreakPreview" zoomScaleNormal="85" workbookViewId="0">
      <selection activeCell="B27" sqref="B27"/>
    </sheetView>
  </sheetViews>
  <sheetFormatPr defaultColWidth="9" defaultRowHeight="14.25" customHeight="1" outlineLevelRow="6" outlineLevelCol="5"/>
  <cols>
    <col min="1" max="1" width="11.625" style="18" customWidth="1"/>
    <col min="2" max="2" width="14.75" style="18" customWidth="1"/>
    <col min="3" max="3" width="13.375" style="18" customWidth="1"/>
    <col min="4" max="4" width="8.875" style="18" customWidth="1"/>
    <col min="5" max="5" width="12.5" style="18" customWidth="1"/>
    <col min="6" max="6" width="22.75" style="18" customWidth="1"/>
    <col min="7" max="16384" width="9" style="18"/>
  </cols>
  <sheetData>
    <row r="1" s="14" customFormat="1" ht="20.1" customHeight="1" spans="1:6">
      <c r="A1" s="19" t="s">
        <v>15</v>
      </c>
      <c r="B1" s="19"/>
      <c r="C1" s="19"/>
      <c r="D1" s="19"/>
      <c r="E1" s="19"/>
      <c r="F1" s="19"/>
    </row>
    <row r="2" s="14" customFormat="1" ht="30" customHeight="1" spans="1:6">
      <c r="A2" s="70" t="s">
        <v>63</v>
      </c>
      <c r="B2" s="70"/>
      <c r="C2" s="70"/>
      <c r="D2" s="70"/>
      <c r="E2" s="70"/>
      <c r="F2" s="70"/>
    </row>
    <row r="3" s="15" customFormat="1" ht="25" customHeight="1" spans="1:6">
      <c r="A3" s="71" t="s">
        <v>17</v>
      </c>
      <c r="B3" s="71" t="s">
        <v>64</v>
      </c>
      <c r="C3" s="71" t="s">
        <v>65</v>
      </c>
      <c r="D3" s="71" t="s">
        <v>19</v>
      </c>
      <c r="E3" s="71" t="s">
        <v>20</v>
      </c>
      <c r="F3" s="71" t="s">
        <v>66</v>
      </c>
    </row>
    <row r="4" s="16" customFormat="1" ht="25" customHeight="1" spans="1:6">
      <c r="A4" s="4">
        <v>1</v>
      </c>
      <c r="B4" s="72" t="s">
        <v>67</v>
      </c>
      <c r="C4" s="4" t="s">
        <v>27</v>
      </c>
      <c r="D4" s="4" t="s">
        <v>68</v>
      </c>
      <c r="E4" s="73">
        <v>1</v>
      </c>
      <c r="F4" s="72" t="s">
        <v>69</v>
      </c>
    </row>
    <row r="5" ht="25" customHeight="1" spans="1:6">
      <c r="A5" s="4">
        <v>2</v>
      </c>
      <c r="B5" s="72" t="s">
        <v>70</v>
      </c>
      <c r="C5" s="4" t="s">
        <v>71</v>
      </c>
      <c r="D5" s="4" t="s">
        <v>68</v>
      </c>
      <c r="E5" s="73">
        <v>1</v>
      </c>
      <c r="F5" s="72" t="s">
        <v>69</v>
      </c>
    </row>
    <row r="6" ht="25" customHeight="1" spans="1:6">
      <c r="A6" s="72">
        <v>3</v>
      </c>
      <c r="B6" s="72" t="s">
        <v>72</v>
      </c>
      <c r="C6" s="72" t="s">
        <v>73</v>
      </c>
      <c r="D6" s="72" t="s">
        <v>50</v>
      </c>
      <c r="E6" s="72">
        <v>1</v>
      </c>
      <c r="F6" s="74" t="s">
        <v>74</v>
      </c>
    </row>
    <row r="7" ht="25" customHeight="1" spans="1:6">
      <c r="A7" s="4">
        <v>4</v>
      </c>
      <c r="B7" s="72" t="s">
        <v>75</v>
      </c>
      <c r="C7" s="72" t="s">
        <v>76</v>
      </c>
      <c r="D7" s="72" t="s">
        <v>24</v>
      </c>
      <c r="E7" s="72">
        <v>1</v>
      </c>
      <c r="F7" s="74" t="s">
        <v>77</v>
      </c>
    </row>
  </sheetData>
  <mergeCells count="2">
    <mergeCell ref="A1:F1"/>
    <mergeCell ref="A2:F2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landscape" errors="blank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20"/>
  <sheetViews>
    <sheetView view="pageBreakPreview" zoomScaleNormal="100" workbookViewId="0">
      <selection activeCell="C61" sqref="C61"/>
    </sheetView>
  </sheetViews>
  <sheetFormatPr defaultColWidth="9" defaultRowHeight="13.5" outlineLevelCol="2"/>
  <sheetData>
    <row r="20" ht="46.5" spans="3:3">
      <c r="C20" s="61" t="s">
        <v>78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H26"/>
  <sheetViews>
    <sheetView view="pageBreakPreview" zoomScaleNormal="85" workbookViewId="0">
      <selection activeCell="K8" sqref="K8"/>
    </sheetView>
  </sheetViews>
  <sheetFormatPr defaultColWidth="9" defaultRowHeight="14.25" customHeight="1" outlineLevelCol="7"/>
  <cols>
    <col min="1" max="1" width="11.625" style="18" customWidth="1"/>
    <col min="2" max="2" width="14.75" style="18" customWidth="1"/>
    <col min="3" max="3" width="7.25" style="18" customWidth="1"/>
    <col min="4" max="4" width="14.125" style="18" customWidth="1"/>
    <col min="5" max="6" width="8.25" style="18" customWidth="1"/>
    <col min="7" max="7" width="7.375" style="18" customWidth="1"/>
    <col min="8" max="8" width="11.875" style="18" customWidth="1"/>
    <col min="9" max="16384" width="9" style="18"/>
  </cols>
  <sheetData>
    <row r="1" s="14" customFormat="1" ht="20.1" customHeight="1" spans="1:8">
      <c r="A1" s="19" t="s">
        <v>15</v>
      </c>
      <c r="B1" s="20"/>
      <c r="C1" s="20"/>
      <c r="D1" s="20"/>
      <c r="E1" s="20"/>
      <c r="F1" s="20"/>
      <c r="G1" s="20"/>
      <c r="H1" s="20"/>
    </row>
    <row r="2" s="14" customFormat="1" ht="30" customHeight="1" spans="1:8">
      <c r="A2" s="21" t="s">
        <v>79</v>
      </c>
      <c r="B2" s="21"/>
      <c r="C2" s="21"/>
      <c r="D2" s="21"/>
      <c r="E2" s="21"/>
      <c r="F2" s="21"/>
      <c r="G2" s="21"/>
      <c r="H2" s="21"/>
    </row>
    <row r="3" s="15" customFormat="1" ht="30" customHeight="1" spans="1:8">
      <c r="A3" s="22" t="s">
        <v>80</v>
      </c>
      <c r="B3" s="22"/>
      <c r="C3" s="22"/>
      <c r="D3" s="22"/>
      <c r="E3" s="23" t="s">
        <v>81</v>
      </c>
      <c r="F3" s="23"/>
      <c r="G3" s="23"/>
      <c r="H3" s="23"/>
    </row>
    <row r="4" s="15" customFormat="1" ht="30" customHeight="1" spans="1:8">
      <c r="A4" s="24" t="s">
        <v>82</v>
      </c>
      <c r="B4" s="24"/>
      <c r="C4" s="24"/>
      <c r="D4" s="24"/>
      <c r="E4" s="25" t="s">
        <v>83</v>
      </c>
      <c r="F4" s="25"/>
      <c r="G4" s="25"/>
      <c r="H4" s="25"/>
    </row>
    <row r="5" s="16" customFormat="1" ht="27.6" customHeight="1" spans="1:8">
      <c r="A5" s="26" t="s">
        <v>84</v>
      </c>
      <c r="B5" s="27"/>
      <c r="C5" s="27"/>
      <c r="D5" s="27"/>
      <c r="E5" s="27"/>
      <c r="F5" s="27"/>
      <c r="G5" s="28"/>
      <c r="H5" s="29" t="s">
        <v>85</v>
      </c>
    </row>
    <row r="6" s="16" customFormat="1" ht="30" customHeight="1" spans="1:8">
      <c r="A6" s="30" t="s">
        <v>86</v>
      </c>
      <c r="B6" s="31" t="s">
        <v>87</v>
      </c>
      <c r="C6" s="32"/>
      <c r="D6" s="33" t="s">
        <v>88</v>
      </c>
      <c r="E6" s="34" t="s">
        <v>5</v>
      </c>
      <c r="F6" s="29"/>
      <c r="G6" s="29"/>
      <c r="H6" s="29"/>
    </row>
    <row r="7" s="16" customFormat="1" ht="30" customHeight="1" spans="1:8">
      <c r="A7" s="35">
        <v>1</v>
      </c>
      <c r="B7" s="36" t="s">
        <v>23</v>
      </c>
      <c r="C7" s="37"/>
      <c r="D7" s="38">
        <v>3</v>
      </c>
      <c r="E7" s="39">
        <f>消防设施!J9</f>
        <v>1</v>
      </c>
      <c r="F7" s="39"/>
      <c r="G7" s="39"/>
      <c r="H7" s="35"/>
    </row>
    <row r="8" s="16" customFormat="1" ht="30" customHeight="1" spans="1:8">
      <c r="A8" s="35">
        <v>2</v>
      </c>
      <c r="B8" s="36" t="s">
        <v>28</v>
      </c>
      <c r="C8" s="37"/>
      <c r="D8" s="40">
        <v>3</v>
      </c>
      <c r="E8" s="41">
        <f>电气安全!J19</f>
        <v>1</v>
      </c>
      <c r="F8" s="42"/>
      <c r="G8" s="43"/>
      <c r="H8" s="35"/>
    </row>
    <row r="9" s="16" customFormat="1" ht="30" customHeight="1" spans="1:8">
      <c r="A9" s="35">
        <v>3</v>
      </c>
      <c r="B9" s="36" t="s">
        <v>9</v>
      </c>
      <c r="C9" s="37"/>
      <c r="D9" s="44">
        <v>3</v>
      </c>
      <c r="E9" s="41">
        <f>防护设施!J17</f>
        <v>1</v>
      </c>
      <c r="F9" s="42"/>
      <c r="G9" s="43"/>
      <c r="H9" s="35"/>
    </row>
    <row r="10" s="16" customFormat="1" ht="30" customHeight="1" spans="1:8">
      <c r="A10" s="35"/>
      <c r="B10" s="45"/>
      <c r="C10" s="46"/>
      <c r="D10" s="40"/>
      <c r="E10" s="47"/>
      <c r="F10" s="48"/>
      <c r="G10" s="49"/>
      <c r="H10" s="35"/>
    </row>
    <row r="11" s="16" customFormat="1" ht="30" customHeight="1" spans="1:8">
      <c r="A11" s="35"/>
      <c r="B11" s="50"/>
      <c r="C11" s="37"/>
      <c r="D11" s="40"/>
      <c r="E11" s="47"/>
      <c r="F11" s="48"/>
      <c r="G11" s="49"/>
      <c r="H11" s="35"/>
    </row>
    <row r="12" s="16" customFormat="1" ht="30" customHeight="1" spans="1:8">
      <c r="A12" s="35"/>
      <c r="B12" s="50"/>
      <c r="C12" s="37"/>
      <c r="D12" s="40"/>
      <c r="E12" s="47"/>
      <c r="F12" s="48"/>
      <c r="G12" s="49"/>
      <c r="H12" s="35"/>
    </row>
    <row r="13" s="16" customFormat="1" ht="30" customHeight="1" spans="1:8">
      <c r="A13" s="35"/>
      <c r="B13" s="50"/>
      <c r="C13" s="37"/>
      <c r="D13" s="40"/>
      <c r="E13" s="47"/>
      <c r="F13" s="48"/>
      <c r="G13" s="49"/>
      <c r="H13" s="35"/>
    </row>
    <row r="14" s="16" customFormat="1" ht="30" customHeight="1" spans="1:8">
      <c r="A14" s="35"/>
      <c r="B14" s="50"/>
      <c r="C14" s="37"/>
      <c r="D14" s="40"/>
      <c r="E14" s="47"/>
      <c r="F14" s="48"/>
      <c r="G14" s="49"/>
      <c r="H14" s="35"/>
    </row>
    <row r="15" s="16" customFormat="1" ht="30" customHeight="1" spans="1:8">
      <c r="A15" s="35"/>
      <c r="B15" s="50"/>
      <c r="C15" s="37"/>
      <c r="D15" s="40"/>
      <c r="E15" s="47"/>
      <c r="F15" s="48"/>
      <c r="G15" s="49"/>
      <c r="H15" s="35"/>
    </row>
    <row r="16" s="16" customFormat="1" ht="30" customHeight="1" spans="1:8">
      <c r="A16" s="35"/>
      <c r="B16" s="50"/>
      <c r="C16" s="37"/>
      <c r="D16" s="40"/>
      <c r="E16" s="47"/>
      <c r="F16" s="48"/>
      <c r="G16" s="49"/>
      <c r="H16" s="35"/>
    </row>
    <row r="17" s="16" customFormat="1" ht="30" customHeight="1" spans="1:8">
      <c r="A17" s="35"/>
      <c r="B17" s="50"/>
      <c r="C17" s="37"/>
      <c r="D17" s="40"/>
      <c r="E17" s="47"/>
      <c r="F17" s="48"/>
      <c r="G17" s="49"/>
      <c r="H17" s="35"/>
    </row>
    <row r="18" s="16" customFormat="1" ht="30" customHeight="1" spans="1:8">
      <c r="A18" s="35"/>
      <c r="B18" s="50"/>
      <c r="C18" s="37"/>
      <c r="D18" s="40"/>
      <c r="E18" s="47"/>
      <c r="F18" s="48"/>
      <c r="G18" s="49"/>
      <c r="H18" s="35"/>
    </row>
    <row r="19" s="16" customFormat="1" ht="30" customHeight="1" spans="1:8">
      <c r="A19" s="35"/>
      <c r="B19" s="50"/>
      <c r="C19" s="37"/>
      <c r="D19" s="40"/>
      <c r="E19" s="47"/>
      <c r="F19" s="48"/>
      <c r="G19" s="49"/>
      <c r="H19" s="35"/>
    </row>
    <row r="20" s="16" customFormat="1" ht="30" customHeight="1" spans="1:8">
      <c r="A20" s="35"/>
      <c r="B20" s="50"/>
      <c r="C20" s="37"/>
      <c r="D20" s="40"/>
      <c r="E20" s="47"/>
      <c r="F20" s="48"/>
      <c r="G20" s="49"/>
      <c r="H20" s="35"/>
    </row>
    <row r="21" s="16" customFormat="1" ht="30" customHeight="1" spans="1:8">
      <c r="A21" s="51" t="s">
        <v>89</v>
      </c>
      <c r="B21" s="52"/>
      <c r="C21" s="52"/>
      <c r="D21" s="53"/>
      <c r="E21" s="54">
        <f>AVERAGE(E7:G9)*100</f>
        <v>100</v>
      </c>
      <c r="F21" s="55"/>
      <c r="G21" s="56"/>
      <c r="H21" s="35"/>
    </row>
    <row r="22" s="16" customFormat="1" ht="27.75" customHeight="1" spans="1:8">
      <c r="A22" s="57" t="s">
        <v>90</v>
      </c>
      <c r="B22" s="52"/>
      <c r="C22" s="53"/>
      <c r="D22" s="58">
        <v>2</v>
      </c>
      <c r="E22" s="47" t="s">
        <v>91</v>
      </c>
      <c r="F22" s="48"/>
      <c r="G22" s="49"/>
      <c r="H22" s="59">
        <v>2.5</v>
      </c>
    </row>
    <row r="23" s="16" customFormat="1" ht="27.75" customHeight="1" spans="1:8">
      <c r="A23" s="57" t="s">
        <v>92</v>
      </c>
      <c r="B23" s="52"/>
      <c r="C23" s="53"/>
      <c r="D23" s="60">
        <f>E21-D22-H22</f>
        <v>95.5</v>
      </c>
      <c r="E23" s="29" t="s">
        <v>93</v>
      </c>
      <c r="F23" s="29"/>
      <c r="G23" s="29"/>
      <c r="H23" s="28" t="s">
        <v>94</v>
      </c>
    </row>
    <row r="24" s="17" customFormat="1" ht="27.6" customHeight="1"/>
    <row r="25" s="17" customFormat="1" ht="27.6" customHeight="1"/>
    <row r="26" s="17" customFormat="1" ht="27.6" customHeight="1"/>
  </sheetData>
  <mergeCells count="38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7:C17"/>
    <mergeCell ref="E17:G17"/>
    <mergeCell ref="B19:C19"/>
    <mergeCell ref="E19:G19"/>
    <mergeCell ref="B20:C20"/>
    <mergeCell ref="E20:G20"/>
    <mergeCell ref="A21:D21"/>
    <mergeCell ref="E21:G21"/>
    <mergeCell ref="A22:C22"/>
    <mergeCell ref="E22:G22"/>
    <mergeCell ref="A23:C23"/>
    <mergeCell ref="E23:G23"/>
    <mergeCell ref="H5:H6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portrait" errors="blank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J10"/>
  <sheetViews>
    <sheetView view="pageBreakPreview" zoomScaleNormal="100" workbookViewId="0">
      <selection activeCell="D2" sqref="D2:I2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95</v>
      </c>
      <c r="B1" s="1"/>
      <c r="C1" s="1"/>
      <c r="D1" s="2"/>
      <c r="E1" s="2"/>
      <c r="F1" s="2"/>
      <c r="G1" s="2"/>
      <c r="H1" s="2"/>
      <c r="I1" s="2"/>
      <c r="J1" s="2"/>
    </row>
    <row r="2" ht="25" customHeight="1" spans="1:10">
      <c r="A2" s="3" t="s">
        <v>17</v>
      </c>
      <c r="B2" s="3" t="s">
        <v>96</v>
      </c>
      <c r="C2" s="3" t="s">
        <v>97</v>
      </c>
      <c r="D2" s="3" t="s">
        <v>98</v>
      </c>
      <c r="E2" s="3"/>
      <c r="F2" s="3"/>
      <c r="G2" s="3"/>
      <c r="H2" s="3"/>
      <c r="I2" s="3"/>
      <c r="J2" s="3" t="s">
        <v>99</v>
      </c>
    </row>
    <row r="3" ht="25" customHeight="1" spans="1:10">
      <c r="A3" s="3"/>
      <c r="B3" s="3"/>
      <c r="C3" s="3"/>
      <c r="D3" s="4" t="s">
        <v>25</v>
      </c>
      <c r="E3" s="4" t="s">
        <v>26</v>
      </c>
      <c r="F3" s="4" t="s">
        <v>27</v>
      </c>
      <c r="G3" s="4" t="s">
        <v>27</v>
      </c>
      <c r="H3" s="4" t="s">
        <v>27</v>
      </c>
      <c r="I3" s="4" t="s">
        <v>27</v>
      </c>
      <c r="J3" s="3"/>
    </row>
    <row r="4" ht="55" customHeight="1" spans="1:10">
      <c r="A4" s="64">
        <v>1</v>
      </c>
      <c r="B4" s="4" t="s">
        <v>22</v>
      </c>
      <c r="C4" s="4" t="s">
        <v>100</v>
      </c>
      <c r="D4" s="4" t="s">
        <v>101</v>
      </c>
      <c r="E4" s="4" t="s">
        <v>101</v>
      </c>
      <c r="F4" s="4" t="s">
        <v>27</v>
      </c>
      <c r="G4" s="4" t="s">
        <v>27</v>
      </c>
      <c r="H4" s="4" t="s">
        <v>27</v>
      </c>
      <c r="I4" s="4" t="s">
        <v>27</v>
      </c>
      <c r="J4" s="5">
        <f>1-COUNTIF(D4:I4,"不符合")/(COUNTIF(D4:I4,"不符合")+COUNTIF(D4:I4,"符合"))</f>
        <v>1</v>
      </c>
    </row>
    <row r="5" ht="55" customHeight="1" spans="1:10">
      <c r="A5" s="64"/>
      <c r="B5" s="4"/>
      <c r="C5" s="4" t="s">
        <v>102</v>
      </c>
      <c r="D5" s="4" t="s">
        <v>101</v>
      </c>
      <c r="E5" s="4" t="s">
        <v>101</v>
      </c>
      <c r="F5" s="4" t="s">
        <v>27</v>
      </c>
      <c r="G5" s="4" t="s">
        <v>27</v>
      </c>
      <c r="H5" s="4" t="s">
        <v>27</v>
      </c>
      <c r="I5" s="4" t="s">
        <v>27</v>
      </c>
      <c r="J5" s="5">
        <f>1-COUNTIF(D5:I5,"不符合")/(COUNTIF(D5:I5,"不符合")+COUNTIF(D5:I5,"符合"))</f>
        <v>1</v>
      </c>
    </row>
    <row r="6" ht="35" customHeight="1" spans="1:10">
      <c r="A6" s="64">
        <v>2</v>
      </c>
      <c r="B6" s="4" t="s">
        <v>103</v>
      </c>
      <c r="C6" s="4" t="s">
        <v>104</v>
      </c>
      <c r="D6" s="4" t="s">
        <v>101</v>
      </c>
      <c r="E6" s="4" t="s">
        <v>101</v>
      </c>
      <c r="F6" s="4" t="s">
        <v>27</v>
      </c>
      <c r="G6" s="4" t="s">
        <v>27</v>
      </c>
      <c r="H6" s="4" t="s">
        <v>27</v>
      </c>
      <c r="I6" s="4" t="s">
        <v>27</v>
      </c>
      <c r="J6" s="5">
        <f>1-COUNTIF(D6:I6,"不符合")/(COUNTIF(D6:I6,"不符合")+COUNTIF(D6:I6,"符合"))</f>
        <v>1</v>
      </c>
    </row>
    <row r="7" ht="35" customHeight="1" spans="1:10">
      <c r="A7" s="64">
        <v>3</v>
      </c>
      <c r="B7" s="4" t="s">
        <v>105</v>
      </c>
      <c r="C7" s="4" t="s">
        <v>106</v>
      </c>
      <c r="D7" s="4" t="s">
        <v>101</v>
      </c>
      <c r="E7" s="4" t="s">
        <v>101</v>
      </c>
      <c r="F7" s="4" t="s">
        <v>27</v>
      </c>
      <c r="G7" s="4" t="s">
        <v>27</v>
      </c>
      <c r="H7" s="4" t="s">
        <v>27</v>
      </c>
      <c r="I7" s="4" t="s">
        <v>27</v>
      </c>
      <c r="J7" s="5">
        <f>1-COUNTIF(D7:I7,"不符合")/(COUNTIF(D7:I7,"不符合")+COUNTIF(D7:I7,"符合"))</f>
        <v>1</v>
      </c>
    </row>
    <row r="8" ht="25" customHeight="1" spans="1:10">
      <c r="A8" s="4" t="s">
        <v>23</v>
      </c>
      <c r="B8" s="4"/>
      <c r="C8" s="4" t="s">
        <v>107</v>
      </c>
      <c r="D8" s="4" t="s">
        <v>108</v>
      </c>
      <c r="E8" s="4" t="s">
        <v>108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27</v>
      </c>
    </row>
    <row r="9" ht="25" customHeight="1" spans="1:10">
      <c r="A9" s="4"/>
      <c r="B9" s="4"/>
      <c r="C9" s="4" t="s">
        <v>5</v>
      </c>
      <c r="D9" s="4" t="s">
        <v>5</v>
      </c>
      <c r="E9" s="4"/>
      <c r="F9" s="4"/>
      <c r="G9" s="4"/>
      <c r="H9" s="4"/>
      <c r="I9" s="4"/>
      <c r="J9" s="8">
        <f>1-COUNTIF(D8:I8,"是")/(COUNTIF(D8:I8,"是")+COUNTIF(D8:I8,"否"))</f>
        <v>1</v>
      </c>
    </row>
    <row r="10" ht="30" customHeight="1" spans="1:10">
      <c r="A10" s="9" t="s">
        <v>109</v>
      </c>
      <c r="B10" s="9"/>
      <c r="C10" s="9"/>
      <c r="D10" s="10"/>
      <c r="E10" s="10"/>
      <c r="F10" s="10"/>
      <c r="G10" s="10"/>
      <c r="H10" s="10"/>
      <c r="I10" s="10"/>
      <c r="J10" s="10"/>
    </row>
  </sheetData>
  <mergeCells count="11">
    <mergeCell ref="D2:I2"/>
    <mergeCell ref="D9:I9"/>
    <mergeCell ref="A10:C10"/>
    <mergeCell ref="D10:J10"/>
    <mergeCell ref="A2:A3"/>
    <mergeCell ref="A4:A5"/>
    <mergeCell ref="B2:B3"/>
    <mergeCell ref="B4:B5"/>
    <mergeCell ref="C2:C3"/>
    <mergeCell ref="J2:J3"/>
    <mergeCell ref="A8:B9"/>
  </mergeCells>
  <pageMargins left="0.751388888888889" right="0.751388888888889" top="1" bottom="1" header="0.5" footer="0.5"/>
  <pageSetup paperSize="9" scale="90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J20"/>
  <sheetViews>
    <sheetView view="pageBreakPreview" zoomScaleNormal="100" workbookViewId="0">
      <selection activeCell="T13" sqref="T13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110</v>
      </c>
      <c r="B1" s="1"/>
      <c r="C1" s="1"/>
      <c r="D1" s="11"/>
      <c r="E1" s="11"/>
      <c r="F1" s="11"/>
      <c r="G1" s="11"/>
      <c r="H1" s="11"/>
      <c r="I1" s="11"/>
      <c r="J1" s="11"/>
    </row>
    <row r="2" ht="25" customHeight="1" spans="1:10">
      <c r="A2" s="3" t="s">
        <v>17</v>
      </c>
      <c r="B2" s="3" t="s">
        <v>96</v>
      </c>
      <c r="C2" s="3" t="s">
        <v>97</v>
      </c>
      <c r="D2" s="3" t="s">
        <v>98</v>
      </c>
      <c r="E2" s="3"/>
      <c r="F2" s="3"/>
      <c r="G2" s="3"/>
      <c r="H2" s="3"/>
      <c r="I2" s="3"/>
      <c r="J2" s="3" t="s">
        <v>99</v>
      </c>
    </row>
    <row r="3" ht="25" customHeight="1" spans="1:10">
      <c r="A3" s="3"/>
      <c r="B3" s="3"/>
      <c r="C3" s="3"/>
      <c r="D3" s="4" t="s">
        <v>25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3"/>
    </row>
    <row r="4" ht="53" customHeight="1" spans="1:10">
      <c r="A4" s="64">
        <v>1</v>
      </c>
      <c r="B4" s="4" t="s">
        <v>111</v>
      </c>
      <c r="C4" s="4" t="s">
        <v>112</v>
      </c>
      <c r="D4" s="4" t="s">
        <v>101</v>
      </c>
      <c r="E4" s="4" t="s">
        <v>27</v>
      </c>
      <c r="F4" s="4" t="s">
        <v>27</v>
      </c>
      <c r="G4" s="4" t="s">
        <v>27</v>
      </c>
      <c r="H4" s="4" t="s">
        <v>27</v>
      </c>
      <c r="I4" s="4" t="s">
        <v>27</v>
      </c>
      <c r="J4" s="5">
        <f>IF(D4="/","/",1-COUNTIF(D4:I4,"不符合")/(COUNTIF(D4:I4,"符合")+COUNTIF(D4:I4,"不符合")))</f>
        <v>1</v>
      </c>
    </row>
    <row r="5" ht="53" customHeight="1" spans="1:10">
      <c r="A5" s="64">
        <v>2</v>
      </c>
      <c r="B5" s="4" t="s">
        <v>113</v>
      </c>
      <c r="C5" s="4" t="s">
        <v>114</v>
      </c>
      <c r="D5" s="4" t="s">
        <v>101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5">
        <f>IF(D5="/","/",1-COUNTIF(D5:I5,"不符合")/(COUNTIF(D5:I5,"符合")+COUNTIF(D5:I5,"不符合")))</f>
        <v>1</v>
      </c>
    </row>
    <row r="6" ht="53" customHeight="1" spans="1:10">
      <c r="A6" s="62">
        <v>3</v>
      </c>
      <c r="B6" s="12" t="s">
        <v>115</v>
      </c>
      <c r="C6" s="4" t="s">
        <v>116</v>
      </c>
      <c r="D6" s="4" t="s">
        <v>101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  <c r="J6" s="5">
        <f>IF(D6="/","/",1-COUNTIF(D6:I6,"不符合")/(COUNTIF(D6:I6,"符合")+COUNTIF(D6:I6,"不符合")))</f>
        <v>1</v>
      </c>
    </row>
    <row r="7" ht="53" customHeight="1" spans="1:10">
      <c r="A7" s="68"/>
      <c r="B7" s="69"/>
      <c r="C7" s="4" t="s">
        <v>117</v>
      </c>
      <c r="D7" s="4">
        <v>3</v>
      </c>
      <c r="E7" s="4" t="s">
        <v>27</v>
      </c>
      <c r="F7" s="4" t="s">
        <v>27</v>
      </c>
      <c r="G7" s="4" t="s">
        <v>27</v>
      </c>
      <c r="H7" s="4" t="s">
        <v>27</v>
      </c>
      <c r="I7" s="4" t="s">
        <v>27</v>
      </c>
      <c r="J7" s="5">
        <v>1</v>
      </c>
    </row>
    <row r="8" ht="53" customHeight="1" spans="1:10">
      <c r="A8" s="63"/>
      <c r="B8" s="13"/>
      <c r="C8" s="4" t="s">
        <v>118</v>
      </c>
      <c r="D8" s="4" t="s">
        <v>101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  <c r="J8" s="5">
        <f>IF(D8="/","/",1-COUNTIF(D8:I8,"不符合")/(COUNTIF(D8:I8,"符合")+COUNTIF(D8:I8,"不符合")))</f>
        <v>1</v>
      </c>
    </row>
    <row r="9" ht="25" customHeight="1" spans="1:10">
      <c r="A9" s="4" t="s">
        <v>28</v>
      </c>
      <c r="B9" s="4"/>
      <c r="C9" s="4" t="s">
        <v>107</v>
      </c>
      <c r="D9" s="4" t="s">
        <v>108</v>
      </c>
      <c r="E9" s="4" t="s">
        <v>27</v>
      </c>
      <c r="F9" s="4" t="s">
        <v>27</v>
      </c>
      <c r="G9" s="4" t="s">
        <v>27</v>
      </c>
      <c r="H9" s="4" t="s">
        <v>27</v>
      </c>
      <c r="I9" s="4" t="s">
        <v>27</v>
      </c>
      <c r="J9" s="4" t="s">
        <v>27</v>
      </c>
    </row>
    <row r="11" ht="25" customHeight="1" spans="1:10">
      <c r="A11" s="3" t="s">
        <v>17</v>
      </c>
      <c r="B11" s="3" t="s">
        <v>96</v>
      </c>
      <c r="C11" s="3" t="s">
        <v>97</v>
      </c>
      <c r="D11" s="3" t="s">
        <v>98</v>
      </c>
      <c r="E11" s="3"/>
      <c r="F11" s="3"/>
      <c r="G11" s="3"/>
      <c r="H11" s="3"/>
      <c r="I11" s="3"/>
      <c r="J11" s="3" t="s">
        <v>99</v>
      </c>
    </row>
    <row r="12" ht="25" customHeight="1" spans="1:10">
      <c r="A12" s="3"/>
      <c r="B12" s="3"/>
      <c r="C12" s="3"/>
      <c r="D12" s="4" t="s">
        <v>27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3"/>
    </row>
    <row r="13" ht="53" customHeight="1" spans="1:10">
      <c r="A13" s="64">
        <v>1</v>
      </c>
      <c r="B13" s="4" t="s">
        <v>111</v>
      </c>
      <c r="C13" s="4" t="s">
        <v>112</v>
      </c>
      <c r="D13" s="4" t="s">
        <v>27</v>
      </c>
      <c r="E13" s="4" t="s">
        <v>27</v>
      </c>
      <c r="F13" s="4" t="s">
        <v>27</v>
      </c>
      <c r="G13" s="4" t="s">
        <v>27</v>
      </c>
      <c r="H13" s="4" t="s">
        <v>27</v>
      </c>
      <c r="I13" s="4" t="s">
        <v>27</v>
      </c>
      <c r="J13" s="5" t="str">
        <f t="shared" ref="J13:J17" si="0">IF(D13="/","/",1-COUNTIF(D13:I13,"不符合")/(COUNTIF(D13:I13,"符合")+COUNTIF(D13:I13,"不符合")))</f>
        <v>/</v>
      </c>
    </row>
    <row r="14" ht="53" customHeight="1" spans="1:10">
      <c r="A14" s="64">
        <v>2</v>
      </c>
      <c r="B14" s="4" t="s">
        <v>113</v>
      </c>
      <c r="C14" s="4" t="s">
        <v>114</v>
      </c>
      <c r="D14" s="4" t="s">
        <v>27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  <c r="J14" s="5" t="str">
        <f t="shared" si="0"/>
        <v>/</v>
      </c>
    </row>
    <row r="15" ht="53" customHeight="1" spans="1:10">
      <c r="A15" s="62">
        <v>3</v>
      </c>
      <c r="B15" s="12" t="s">
        <v>115</v>
      </c>
      <c r="C15" s="4" t="s">
        <v>116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4" t="s">
        <v>27</v>
      </c>
      <c r="J15" s="5" t="str">
        <f t="shared" si="0"/>
        <v>/</v>
      </c>
    </row>
    <row r="16" ht="53" customHeight="1" spans="1:10">
      <c r="A16" s="68"/>
      <c r="B16" s="69"/>
      <c r="C16" s="4" t="s">
        <v>117</v>
      </c>
      <c r="D16" s="4" t="s">
        <v>27</v>
      </c>
      <c r="E16" s="4" t="s">
        <v>27</v>
      </c>
      <c r="F16" s="4" t="s">
        <v>27</v>
      </c>
      <c r="G16" s="4" t="s">
        <v>27</v>
      </c>
      <c r="H16" s="4" t="s">
        <v>27</v>
      </c>
      <c r="I16" s="4" t="s">
        <v>27</v>
      </c>
      <c r="J16" s="5" t="str">
        <f t="shared" si="0"/>
        <v>/</v>
      </c>
    </row>
    <row r="17" ht="53" customHeight="1" spans="1:10">
      <c r="A17" s="63"/>
      <c r="B17" s="13"/>
      <c r="C17" s="4" t="s">
        <v>118</v>
      </c>
      <c r="D17" s="4" t="s">
        <v>27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27</v>
      </c>
      <c r="J17" s="5" t="str">
        <f t="shared" si="0"/>
        <v>/</v>
      </c>
    </row>
    <row r="18" ht="25" customHeight="1" spans="1:10">
      <c r="A18" s="4" t="s">
        <v>28</v>
      </c>
      <c r="B18" s="4"/>
      <c r="C18" s="4" t="s">
        <v>107</v>
      </c>
      <c r="D18" s="4" t="s">
        <v>27</v>
      </c>
      <c r="E18" s="4" t="s">
        <v>27</v>
      </c>
      <c r="F18" s="4" t="s">
        <v>27</v>
      </c>
      <c r="G18" s="4" t="s">
        <v>27</v>
      </c>
      <c r="H18" s="4" t="s">
        <v>27</v>
      </c>
      <c r="I18" s="4" t="s">
        <v>27</v>
      </c>
      <c r="J18" s="4" t="s">
        <v>27</v>
      </c>
    </row>
    <row r="19" ht="25" customHeight="1" spans="1:10">
      <c r="A19" s="4"/>
      <c r="B19" s="4"/>
      <c r="C19" s="4" t="s">
        <v>5</v>
      </c>
      <c r="D19" s="65" t="s">
        <v>5</v>
      </c>
      <c r="E19" s="66"/>
      <c r="F19" s="66"/>
      <c r="G19" s="66"/>
      <c r="H19" s="66"/>
      <c r="I19" s="67"/>
      <c r="J19" s="8">
        <f>1-COUNTIF(D9:I18,"是")/(COUNTIF(D9:I18,"是")+COUNTIF(D9:I18,"否"))</f>
        <v>1</v>
      </c>
    </row>
    <row r="20" ht="30" customHeight="1" spans="1:10">
      <c r="A20" s="9" t="s">
        <v>109</v>
      </c>
      <c r="B20" s="9"/>
      <c r="C20" s="9"/>
      <c r="D20" s="10"/>
      <c r="E20" s="10"/>
      <c r="F20" s="10"/>
      <c r="G20" s="10"/>
      <c r="H20" s="10"/>
      <c r="I20" s="10"/>
      <c r="J20" s="10"/>
    </row>
  </sheetData>
  <mergeCells count="19">
    <mergeCell ref="D2:I2"/>
    <mergeCell ref="A9:B9"/>
    <mergeCell ref="D11:I11"/>
    <mergeCell ref="D19:I19"/>
    <mergeCell ref="A20:C20"/>
    <mergeCell ref="D20:J20"/>
    <mergeCell ref="A2:A3"/>
    <mergeCell ref="A6:A8"/>
    <mergeCell ref="A11:A12"/>
    <mergeCell ref="A15:A17"/>
    <mergeCell ref="B2:B3"/>
    <mergeCell ref="B6:B8"/>
    <mergeCell ref="B11:B12"/>
    <mergeCell ref="B15:B17"/>
    <mergeCell ref="C2:C3"/>
    <mergeCell ref="C11:C12"/>
    <mergeCell ref="J2:J3"/>
    <mergeCell ref="J11:J12"/>
    <mergeCell ref="A18:B19"/>
  </mergeCells>
  <pageMargins left="0.751388888888889" right="0.751388888888889" top="1" bottom="1" header="0.5" footer="0.5"/>
  <pageSetup paperSize="9" scale="90" orientation="portrait" horizontalDpi="600"/>
  <headerFooter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8"/>
  <sheetViews>
    <sheetView view="pageBreakPreview" zoomScaleNormal="100" workbookViewId="0">
      <selection activeCell="D2" sqref="D2:I2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119</v>
      </c>
      <c r="B1" s="1"/>
      <c r="C1" s="1"/>
      <c r="D1" s="11"/>
      <c r="E1" s="11"/>
      <c r="F1" s="11"/>
      <c r="G1" s="11"/>
      <c r="H1" s="11"/>
      <c r="I1" s="11"/>
      <c r="J1" s="11"/>
    </row>
    <row r="2" ht="25" customHeight="1" spans="1:10">
      <c r="A2" s="3" t="s">
        <v>17</v>
      </c>
      <c r="B2" s="3" t="s">
        <v>96</v>
      </c>
      <c r="C2" s="3" t="s">
        <v>97</v>
      </c>
      <c r="D2" s="3" t="s">
        <v>98</v>
      </c>
      <c r="E2" s="3"/>
      <c r="F2" s="3"/>
      <c r="G2" s="3"/>
      <c r="H2" s="3"/>
      <c r="I2" s="3"/>
      <c r="J2" s="3" t="s">
        <v>99</v>
      </c>
    </row>
    <row r="3" ht="25" customHeight="1" spans="1:10">
      <c r="A3" s="3"/>
      <c r="B3" s="3"/>
      <c r="C3" s="3"/>
      <c r="D3" s="4" t="s">
        <v>25</v>
      </c>
      <c r="E3" s="4" t="s">
        <v>27</v>
      </c>
      <c r="F3" s="4" t="s">
        <v>27</v>
      </c>
      <c r="G3" s="4" t="s">
        <v>27</v>
      </c>
      <c r="H3" s="4" t="s">
        <v>27</v>
      </c>
      <c r="I3" s="4" t="s">
        <v>27</v>
      </c>
      <c r="J3" s="3"/>
    </row>
    <row r="4" ht="55" customHeight="1" spans="1:10">
      <c r="A4" s="62">
        <v>1</v>
      </c>
      <c r="B4" s="12" t="s">
        <v>120</v>
      </c>
      <c r="C4" s="4" t="s">
        <v>121</v>
      </c>
      <c r="D4" s="4" t="s">
        <v>101</v>
      </c>
      <c r="E4" s="4" t="s">
        <v>27</v>
      </c>
      <c r="F4" s="4" t="s">
        <v>27</v>
      </c>
      <c r="G4" s="4" t="s">
        <v>27</v>
      </c>
      <c r="H4" s="4" t="s">
        <v>27</v>
      </c>
      <c r="I4" s="4" t="s">
        <v>27</v>
      </c>
      <c r="J4" s="5">
        <f t="shared" ref="J4:J7" si="0">IF(D4="/","/",1-COUNTIF(D4:I4,"不符合")/(COUNTIF(D4:I4,"符合")+COUNTIF(D4:I4,"不符合")))</f>
        <v>1</v>
      </c>
    </row>
    <row r="5" ht="55" customHeight="1" spans="1:10">
      <c r="A5" s="63"/>
      <c r="B5" s="13"/>
      <c r="C5" s="4" t="s">
        <v>122</v>
      </c>
      <c r="D5" s="4" t="s">
        <v>101</v>
      </c>
      <c r="E5" s="4" t="s">
        <v>27</v>
      </c>
      <c r="F5" s="4" t="s">
        <v>27</v>
      </c>
      <c r="G5" s="4" t="s">
        <v>27</v>
      </c>
      <c r="H5" s="4" t="s">
        <v>27</v>
      </c>
      <c r="I5" s="4" t="s">
        <v>27</v>
      </c>
      <c r="J5" s="5">
        <f t="shared" si="0"/>
        <v>1</v>
      </c>
    </row>
    <row r="6" ht="55" customHeight="1" spans="1:10">
      <c r="A6" s="64">
        <v>2</v>
      </c>
      <c r="B6" s="4" t="s">
        <v>123</v>
      </c>
      <c r="C6" s="4" t="s">
        <v>124</v>
      </c>
      <c r="D6" s="4" t="s">
        <v>101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  <c r="J6" s="5">
        <f t="shared" si="0"/>
        <v>1</v>
      </c>
    </row>
    <row r="7" ht="55" customHeight="1" spans="1:10">
      <c r="A7" s="64">
        <v>3</v>
      </c>
      <c r="B7" s="4" t="s">
        <v>125</v>
      </c>
      <c r="C7" s="4" t="s">
        <v>126</v>
      </c>
      <c r="D7" s="4" t="s">
        <v>101</v>
      </c>
      <c r="E7" s="4" t="s">
        <v>27</v>
      </c>
      <c r="F7" s="4" t="s">
        <v>27</v>
      </c>
      <c r="G7" s="4" t="s">
        <v>27</v>
      </c>
      <c r="H7" s="4" t="s">
        <v>27</v>
      </c>
      <c r="I7" s="4" t="s">
        <v>27</v>
      </c>
      <c r="J7" s="5">
        <f t="shared" si="0"/>
        <v>1</v>
      </c>
    </row>
    <row r="8" ht="25" customHeight="1" spans="1:10">
      <c r="A8" s="4" t="s">
        <v>9</v>
      </c>
      <c r="B8" s="4"/>
      <c r="C8" s="4" t="s">
        <v>107</v>
      </c>
      <c r="D8" s="4" t="s">
        <v>108</v>
      </c>
      <c r="E8" s="4" t="s">
        <v>27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27</v>
      </c>
    </row>
    <row r="10" ht="25" customHeight="1" spans="1:10">
      <c r="A10" s="3" t="s">
        <v>17</v>
      </c>
      <c r="B10" s="3" t="s">
        <v>96</v>
      </c>
      <c r="C10" s="3" t="s">
        <v>97</v>
      </c>
      <c r="D10" s="3" t="s">
        <v>98</v>
      </c>
      <c r="E10" s="3"/>
      <c r="F10" s="3"/>
      <c r="G10" s="3"/>
      <c r="H10" s="3"/>
      <c r="I10" s="3"/>
      <c r="J10" s="3" t="s">
        <v>99</v>
      </c>
    </row>
    <row r="11" ht="25" customHeight="1" spans="1:10">
      <c r="A11" s="3"/>
      <c r="B11" s="3"/>
      <c r="C11" s="3"/>
      <c r="D11" s="4" t="s">
        <v>27</v>
      </c>
      <c r="E11" s="4" t="s">
        <v>27</v>
      </c>
      <c r="F11" s="4" t="s">
        <v>27</v>
      </c>
      <c r="G11" s="4" t="s">
        <v>27</v>
      </c>
      <c r="H11" s="4" t="s">
        <v>27</v>
      </c>
      <c r="I11" s="4" t="s">
        <v>27</v>
      </c>
      <c r="J11" s="3"/>
    </row>
    <row r="12" ht="55" customHeight="1" spans="1:10">
      <c r="A12" s="62">
        <v>1</v>
      </c>
      <c r="B12" s="12" t="s">
        <v>120</v>
      </c>
      <c r="C12" s="4" t="s">
        <v>121</v>
      </c>
      <c r="D12" s="4" t="s">
        <v>27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5" t="str">
        <f t="shared" ref="J12:J15" si="1">IF(D12="/","/",1-COUNTIF(D12:I12,"不符合")/(COUNTIF(D12:I12,"符合")+COUNTIF(D12:I12,"不符合")))</f>
        <v>/</v>
      </c>
    </row>
    <row r="13" ht="55" customHeight="1" spans="1:10">
      <c r="A13" s="63"/>
      <c r="B13" s="13"/>
      <c r="C13" s="4" t="s">
        <v>122</v>
      </c>
      <c r="D13" s="4" t="s">
        <v>27</v>
      </c>
      <c r="E13" s="4" t="s">
        <v>27</v>
      </c>
      <c r="F13" s="4" t="s">
        <v>27</v>
      </c>
      <c r="G13" s="4" t="s">
        <v>27</v>
      </c>
      <c r="H13" s="4" t="s">
        <v>27</v>
      </c>
      <c r="I13" s="4" t="s">
        <v>27</v>
      </c>
      <c r="J13" s="5" t="str">
        <f t="shared" si="1"/>
        <v>/</v>
      </c>
    </row>
    <row r="14" ht="55" customHeight="1" spans="1:10">
      <c r="A14" s="64">
        <v>2</v>
      </c>
      <c r="B14" s="4" t="s">
        <v>123</v>
      </c>
      <c r="C14" s="4" t="s">
        <v>124</v>
      </c>
      <c r="D14" s="4" t="s">
        <v>27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  <c r="J14" s="5" t="str">
        <f t="shared" si="1"/>
        <v>/</v>
      </c>
    </row>
    <row r="15" ht="55" customHeight="1" spans="1:10">
      <c r="A15" s="64">
        <v>3</v>
      </c>
      <c r="B15" s="4" t="s">
        <v>125</v>
      </c>
      <c r="C15" s="4" t="s">
        <v>126</v>
      </c>
      <c r="D15" s="4" t="s">
        <v>27</v>
      </c>
      <c r="E15" s="4" t="s">
        <v>27</v>
      </c>
      <c r="F15" s="4" t="s">
        <v>27</v>
      </c>
      <c r="G15" s="4" t="s">
        <v>27</v>
      </c>
      <c r="H15" s="4" t="s">
        <v>27</v>
      </c>
      <c r="I15" s="4" t="s">
        <v>27</v>
      </c>
      <c r="J15" s="5" t="str">
        <f t="shared" si="1"/>
        <v>/</v>
      </c>
    </row>
    <row r="16" ht="25" customHeight="1" spans="1:10">
      <c r="A16" s="4" t="s">
        <v>9</v>
      </c>
      <c r="B16" s="4"/>
      <c r="C16" s="4" t="s">
        <v>107</v>
      </c>
      <c r="D16" s="4" t="s">
        <v>27</v>
      </c>
      <c r="E16" s="4" t="s">
        <v>27</v>
      </c>
      <c r="F16" s="4" t="s">
        <v>27</v>
      </c>
      <c r="G16" s="4" t="s">
        <v>27</v>
      </c>
      <c r="H16" s="4" t="s">
        <v>27</v>
      </c>
      <c r="I16" s="4" t="s">
        <v>27</v>
      </c>
      <c r="J16" s="4" t="s">
        <v>27</v>
      </c>
    </row>
    <row r="17" ht="25" customHeight="1" spans="1:10">
      <c r="A17" s="4"/>
      <c r="B17" s="4"/>
      <c r="C17" s="4" t="s">
        <v>5</v>
      </c>
      <c r="D17" s="65" t="s">
        <v>5</v>
      </c>
      <c r="E17" s="66"/>
      <c r="F17" s="66"/>
      <c r="G17" s="66"/>
      <c r="H17" s="66"/>
      <c r="I17" s="67"/>
      <c r="J17" s="8">
        <f>1-COUNTIF(D8:I16,"是")/(COUNTIF(D8:I16,"是")+COUNTIF(D8:I16,"否"))</f>
        <v>1</v>
      </c>
    </row>
    <row r="18" ht="30" customHeight="1" spans="1:10">
      <c r="A18" s="9" t="s">
        <v>109</v>
      </c>
      <c r="B18" s="9"/>
      <c r="C18" s="9"/>
      <c r="D18" s="10"/>
      <c r="E18" s="10"/>
      <c r="F18" s="10"/>
      <c r="G18" s="10"/>
      <c r="H18" s="10"/>
      <c r="I18" s="10"/>
      <c r="J18" s="10"/>
    </row>
  </sheetData>
  <mergeCells count="19">
    <mergeCell ref="D2:I2"/>
    <mergeCell ref="A8:B8"/>
    <mergeCell ref="D10:I10"/>
    <mergeCell ref="D17:I17"/>
    <mergeCell ref="A18:C18"/>
    <mergeCell ref="D18:J18"/>
    <mergeCell ref="A2:A3"/>
    <mergeCell ref="A4:A5"/>
    <mergeCell ref="A10:A11"/>
    <mergeCell ref="A12:A13"/>
    <mergeCell ref="B2:B3"/>
    <mergeCell ref="B4:B5"/>
    <mergeCell ref="B10:B11"/>
    <mergeCell ref="B12:B13"/>
    <mergeCell ref="C2:C3"/>
    <mergeCell ref="C10:C11"/>
    <mergeCell ref="J2:J3"/>
    <mergeCell ref="J10:J11"/>
    <mergeCell ref="A16:B17"/>
  </mergeCells>
  <pageMargins left="0.751388888888889" right="0.751388888888889" top="1" bottom="1" header="0.5" footer="0.5"/>
  <pageSetup paperSize="9" scale="90" orientation="portrait" horizontalDpi="600"/>
  <headerFooter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C20"/>
  <sheetViews>
    <sheetView view="pageBreakPreview" zoomScaleNormal="100" workbookViewId="0">
      <selection activeCell="D20" sqref="D20"/>
    </sheetView>
  </sheetViews>
  <sheetFormatPr defaultColWidth="9" defaultRowHeight="13.5" outlineLevelCol="2"/>
  <sheetData>
    <row r="20" ht="46.5" spans="3:3">
      <c r="C20" s="61" t="s">
        <v>127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H26"/>
  <sheetViews>
    <sheetView view="pageBreakPreview" zoomScaleNormal="85" topLeftCell="A8" workbookViewId="0">
      <selection activeCell="I22" sqref="I22"/>
    </sheetView>
  </sheetViews>
  <sheetFormatPr defaultColWidth="9" defaultRowHeight="14.25" customHeight="1" outlineLevelCol="7"/>
  <cols>
    <col min="1" max="1" width="11.625" style="18" customWidth="1"/>
    <col min="2" max="2" width="14.75" style="18" customWidth="1"/>
    <col min="3" max="3" width="7.25" style="18" customWidth="1"/>
    <col min="4" max="4" width="14.125" style="18" customWidth="1"/>
    <col min="5" max="6" width="8.25" style="18" customWidth="1"/>
    <col min="7" max="7" width="7.375" style="18" customWidth="1"/>
    <col min="8" max="8" width="11.875" style="18" customWidth="1"/>
    <col min="9" max="16384" width="9" style="18"/>
  </cols>
  <sheetData>
    <row r="1" s="14" customFormat="1" ht="20.1" customHeight="1" spans="1:8">
      <c r="A1" s="19" t="s">
        <v>15</v>
      </c>
      <c r="B1" s="20"/>
      <c r="C1" s="20"/>
      <c r="D1" s="20"/>
      <c r="E1" s="20"/>
      <c r="F1" s="20"/>
      <c r="G1" s="20"/>
      <c r="H1" s="20"/>
    </row>
    <row r="2" s="14" customFormat="1" ht="30" customHeight="1" spans="1:8">
      <c r="A2" s="21" t="s">
        <v>79</v>
      </c>
      <c r="B2" s="21"/>
      <c r="C2" s="21"/>
      <c r="D2" s="21"/>
      <c r="E2" s="21"/>
      <c r="F2" s="21"/>
      <c r="G2" s="21"/>
      <c r="H2" s="21"/>
    </row>
    <row r="3" s="15" customFormat="1" ht="30" customHeight="1" spans="1:8">
      <c r="A3" s="22" t="s">
        <v>128</v>
      </c>
      <c r="B3" s="22"/>
      <c r="C3" s="22"/>
      <c r="D3" s="22"/>
      <c r="E3" s="23" t="s">
        <v>81</v>
      </c>
      <c r="F3" s="23"/>
      <c r="G3" s="23"/>
      <c r="H3" s="23"/>
    </row>
    <row r="4" s="15" customFormat="1" ht="30" customHeight="1" spans="1:8">
      <c r="A4" s="24" t="s">
        <v>82</v>
      </c>
      <c r="B4" s="24"/>
      <c r="C4" s="24"/>
      <c r="D4" s="24"/>
      <c r="E4" s="25" t="s">
        <v>83</v>
      </c>
      <c r="F4" s="25"/>
      <c r="G4" s="25"/>
      <c r="H4" s="25"/>
    </row>
    <row r="5" s="16" customFormat="1" ht="27.6" customHeight="1" spans="1:8">
      <c r="A5" s="26" t="s">
        <v>84</v>
      </c>
      <c r="B5" s="27"/>
      <c r="C5" s="27"/>
      <c r="D5" s="27"/>
      <c r="E5" s="27"/>
      <c r="F5" s="27"/>
      <c r="G5" s="28"/>
      <c r="H5" s="29" t="s">
        <v>85</v>
      </c>
    </row>
    <row r="6" s="16" customFormat="1" ht="30" customHeight="1" spans="1:8">
      <c r="A6" s="30" t="s">
        <v>86</v>
      </c>
      <c r="B6" s="31" t="s">
        <v>87</v>
      </c>
      <c r="C6" s="32"/>
      <c r="D6" s="33" t="s">
        <v>88</v>
      </c>
      <c r="E6" s="34" t="s">
        <v>5</v>
      </c>
      <c r="F6" s="29"/>
      <c r="G6" s="29"/>
      <c r="H6" s="29"/>
    </row>
    <row r="7" s="16" customFormat="1" ht="30" customHeight="1" spans="1:8">
      <c r="A7" s="35">
        <v>1</v>
      </c>
      <c r="B7" s="36" t="s">
        <v>31</v>
      </c>
      <c r="C7" s="37"/>
      <c r="D7" s="38">
        <v>3</v>
      </c>
      <c r="E7" s="39">
        <f>机械设备!V9</f>
        <v>1</v>
      </c>
      <c r="F7" s="39"/>
      <c r="G7" s="39"/>
      <c r="H7" s="35"/>
    </row>
    <row r="8" s="16" customFormat="1" ht="30" customHeight="1" spans="1:8">
      <c r="A8" s="35">
        <v>2</v>
      </c>
      <c r="B8" s="36" t="s">
        <v>49</v>
      </c>
      <c r="C8" s="37"/>
      <c r="D8" s="40">
        <v>3</v>
      </c>
      <c r="E8" s="41">
        <f>特种设备!AB9</f>
        <v>1</v>
      </c>
      <c r="F8" s="42"/>
      <c r="G8" s="43"/>
      <c r="H8" s="35"/>
    </row>
    <row r="9" s="16" customFormat="1" ht="30" customHeight="1" spans="1:8">
      <c r="A9" s="35">
        <v>3</v>
      </c>
      <c r="B9" s="36" t="s">
        <v>14</v>
      </c>
      <c r="C9" s="37"/>
      <c r="D9" s="44">
        <v>1</v>
      </c>
      <c r="E9" s="41">
        <f>仪器仪表!J18</f>
        <v>1</v>
      </c>
      <c r="F9" s="42"/>
      <c r="G9" s="43"/>
      <c r="H9" s="35"/>
    </row>
    <row r="10" s="16" customFormat="1" ht="30" customHeight="1" spans="1:8">
      <c r="A10" s="35"/>
      <c r="B10" s="45"/>
      <c r="C10" s="46"/>
      <c r="D10" s="40"/>
      <c r="E10" s="47"/>
      <c r="F10" s="48"/>
      <c r="G10" s="49"/>
      <c r="H10" s="35"/>
    </row>
    <row r="11" s="16" customFormat="1" ht="30" customHeight="1" spans="1:8">
      <c r="A11" s="35"/>
      <c r="B11" s="50"/>
      <c r="C11" s="37"/>
      <c r="D11" s="40"/>
      <c r="E11" s="47"/>
      <c r="F11" s="48"/>
      <c r="G11" s="49"/>
      <c r="H11" s="35"/>
    </row>
    <row r="12" s="16" customFormat="1" ht="30" customHeight="1" spans="1:8">
      <c r="A12" s="35"/>
      <c r="B12" s="50"/>
      <c r="C12" s="37"/>
      <c r="D12" s="40"/>
      <c r="E12" s="47"/>
      <c r="F12" s="48"/>
      <c r="G12" s="49"/>
      <c r="H12" s="35"/>
    </row>
    <row r="13" s="16" customFormat="1" ht="30" customHeight="1" spans="1:8">
      <c r="A13" s="35"/>
      <c r="B13" s="50"/>
      <c r="C13" s="37"/>
      <c r="D13" s="40"/>
      <c r="E13" s="47"/>
      <c r="F13" s="48"/>
      <c r="G13" s="49"/>
      <c r="H13" s="35"/>
    </row>
    <row r="14" s="16" customFormat="1" ht="30" customHeight="1" spans="1:8">
      <c r="A14" s="35"/>
      <c r="B14" s="50"/>
      <c r="C14" s="37"/>
      <c r="D14" s="40"/>
      <c r="E14" s="47"/>
      <c r="F14" s="48"/>
      <c r="G14" s="49"/>
      <c r="H14" s="35"/>
    </row>
    <row r="15" s="16" customFormat="1" ht="30" customHeight="1" spans="1:8">
      <c r="A15" s="35"/>
      <c r="B15" s="50"/>
      <c r="C15" s="37"/>
      <c r="D15" s="40"/>
      <c r="E15" s="47"/>
      <c r="F15" s="48"/>
      <c r="G15" s="49"/>
      <c r="H15" s="35"/>
    </row>
    <row r="16" s="16" customFormat="1" ht="30" customHeight="1" spans="1:8">
      <c r="A16" s="35"/>
      <c r="B16" s="50"/>
      <c r="C16" s="37"/>
      <c r="D16" s="40"/>
      <c r="E16" s="47"/>
      <c r="F16" s="48"/>
      <c r="G16" s="49"/>
      <c r="H16" s="35"/>
    </row>
    <row r="17" s="16" customFormat="1" ht="30" customHeight="1" spans="1:8">
      <c r="A17" s="35"/>
      <c r="B17" s="50"/>
      <c r="C17" s="37"/>
      <c r="D17" s="40"/>
      <c r="E17" s="47"/>
      <c r="F17" s="48"/>
      <c r="G17" s="49"/>
      <c r="H17" s="35"/>
    </row>
    <row r="18" s="16" customFormat="1" ht="30" customHeight="1" spans="1:8">
      <c r="A18" s="35"/>
      <c r="B18" s="50"/>
      <c r="C18" s="37"/>
      <c r="D18" s="40"/>
      <c r="E18" s="47"/>
      <c r="F18" s="48"/>
      <c r="G18" s="49"/>
      <c r="H18" s="35"/>
    </row>
    <row r="19" s="16" customFormat="1" ht="30" customHeight="1" spans="1:8">
      <c r="A19" s="35"/>
      <c r="B19" s="50"/>
      <c r="C19" s="37"/>
      <c r="D19" s="40"/>
      <c r="E19" s="47"/>
      <c r="F19" s="48"/>
      <c r="G19" s="49"/>
      <c r="H19" s="35"/>
    </row>
    <row r="20" s="16" customFormat="1" ht="30" customHeight="1" spans="1:8">
      <c r="A20" s="35"/>
      <c r="B20" s="50"/>
      <c r="C20" s="37"/>
      <c r="D20" s="40"/>
      <c r="E20" s="47"/>
      <c r="F20" s="48"/>
      <c r="G20" s="49"/>
      <c r="H20" s="35"/>
    </row>
    <row r="21" s="16" customFormat="1" ht="30" customHeight="1" spans="1:8">
      <c r="A21" s="51" t="s">
        <v>89</v>
      </c>
      <c r="B21" s="52"/>
      <c r="C21" s="52"/>
      <c r="D21" s="53"/>
      <c r="E21" s="54">
        <f>AVERAGE(E7:G9)*100</f>
        <v>100</v>
      </c>
      <c r="F21" s="55"/>
      <c r="G21" s="56"/>
      <c r="H21" s="35"/>
    </row>
    <row r="22" s="16" customFormat="1" ht="27.75" customHeight="1" spans="1:8">
      <c r="A22" s="57" t="s">
        <v>90</v>
      </c>
      <c r="B22" s="52"/>
      <c r="C22" s="53"/>
      <c r="D22" s="58">
        <v>0</v>
      </c>
      <c r="E22" s="47" t="s">
        <v>91</v>
      </c>
      <c r="F22" s="48"/>
      <c r="G22" s="49"/>
      <c r="H22" s="59">
        <v>0</v>
      </c>
    </row>
    <row r="23" s="16" customFormat="1" ht="27.75" customHeight="1" spans="1:8">
      <c r="A23" s="57" t="s">
        <v>92</v>
      </c>
      <c r="B23" s="52"/>
      <c r="C23" s="53"/>
      <c r="D23" s="60">
        <f>E21-D22-H22</f>
        <v>100</v>
      </c>
      <c r="E23" s="29" t="s">
        <v>93</v>
      </c>
      <c r="F23" s="29"/>
      <c r="G23" s="29"/>
      <c r="H23" s="28" t="s">
        <v>94</v>
      </c>
    </row>
    <row r="24" s="17" customFormat="1" ht="27.6" customHeight="1"/>
    <row r="25" s="17" customFormat="1" ht="27.6" customHeight="1"/>
    <row r="26" s="17" customFormat="1" ht="27.6" customHeight="1"/>
  </sheetData>
  <mergeCells count="38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7:C17"/>
    <mergeCell ref="E17:G17"/>
    <mergeCell ref="B19:C19"/>
    <mergeCell ref="E19:G19"/>
    <mergeCell ref="B20:C20"/>
    <mergeCell ref="E20:G20"/>
    <mergeCell ref="A21:D21"/>
    <mergeCell ref="E21:G21"/>
    <mergeCell ref="A22:C22"/>
    <mergeCell ref="E22:G22"/>
    <mergeCell ref="A23:C23"/>
    <mergeCell ref="E23:G23"/>
    <mergeCell ref="H5:H6"/>
  </mergeCells>
  <printOptions horizontalCentered="1" verticalCentered="1"/>
  <pageMargins left="0.78740157480315" right="0.78740157480315" top="0.78740157480315" bottom="0.78740157480315" header="0.511811023622047" footer="0.511811023622047"/>
  <pageSetup paperSize="9" orientation="portrait" errors="blank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V16"/>
  <sheetViews>
    <sheetView view="pageBreakPreview" zoomScaleNormal="100" topLeftCell="D1" workbookViewId="0">
      <selection activeCell="D3" sqref="D3:T3"/>
    </sheetView>
  </sheetViews>
  <sheetFormatPr defaultColWidth="9" defaultRowHeight="13.5"/>
  <cols>
    <col min="1" max="1" width="7.625" customWidth="1"/>
    <col min="3" max="3" width="10.375" customWidth="1"/>
    <col min="4" max="15" width="10.625" customWidth="1"/>
    <col min="16" max="22" width="8.625" customWidth="1"/>
  </cols>
  <sheetData>
    <row r="1" ht="15" customHeight="1" spans="1:22">
      <c r="A1" s="1" t="s">
        <v>129</v>
      </c>
      <c r="B1" s="1"/>
      <c r="C1" s="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5" customHeight="1" spans="1:22">
      <c r="A2" s="3" t="s">
        <v>17</v>
      </c>
      <c r="B2" s="3" t="s">
        <v>96</v>
      </c>
      <c r="C2" s="3" t="s">
        <v>97</v>
      </c>
      <c r="D2" s="3" t="s">
        <v>98</v>
      </c>
      <c r="E2" s="3"/>
      <c r="F2" s="3"/>
      <c r="G2" s="3"/>
      <c r="H2" s="3"/>
      <c r="I2" s="3"/>
      <c r="J2" s="3" t="s">
        <v>98</v>
      </c>
      <c r="K2" s="3"/>
      <c r="L2" s="3"/>
      <c r="M2" s="3"/>
      <c r="N2" s="3"/>
      <c r="O2" s="3"/>
      <c r="P2" s="3" t="s">
        <v>98</v>
      </c>
      <c r="Q2" s="3"/>
      <c r="R2" s="3"/>
      <c r="S2" s="3"/>
      <c r="T2" s="3"/>
      <c r="U2" s="3"/>
      <c r="V2" s="3" t="s">
        <v>99</v>
      </c>
    </row>
    <row r="3" ht="25" customHeight="1" spans="1:22">
      <c r="A3" s="3"/>
      <c r="B3" s="3"/>
      <c r="C3" s="3"/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4" t="s">
        <v>48</v>
      </c>
      <c r="U3" s="4" t="s">
        <v>27</v>
      </c>
      <c r="V3" s="3"/>
    </row>
    <row r="4" ht="45" customHeight="1" spans="1:22">
      <c r="A4" s="12">
        <v>1</v>
      </c>
      <c r="B4" s="12" t="s">
        <v>130</v>
      </c>
      <c r="C4" s="4" t="s">
        <v>131</v>
      </c>
      <c r="D4" s="4" t="s">
        <v>101</v>
      </c>
      <c r="E4" s="4" t="s">
        <v>101</v>
      </c>
      <c r="F4" s="4" t="s">
        <v>101</v>
      </c>
      <c r="G4" s="4" t="s">
        <v>101</v>
      </c>
      <c r="H4" s="4" t="s">
        <v>101</v>
      </c>
      <c r="I4" s="4" t="s">
        <v>101</v>
      </c>
      <c r="J4" s="4" t="s">
        <v>101</v>
      </c>
      <c r="K4" s="4" t="s">
        <v>101</v>
      </c>
      <c r="L4" s="4" t="s">
        <v>101</v>
      </c>
      <c r="M4" s="4" t="s">
        <v>101</v>
      </c>
      <c r="N4" s="4" t="s">
        <v>101</v>
      </c>
      <c r="O4" s="4" t="s">
        <v>101</v>
      </c>
      <c r="P4" s="4" t="s">
        <v>101</v>
      </c>
      <c r="Q4" s="4" t="s">
        <v>101</v>
      </c>
      <c r="R4" s="4" t="s">
        <v>101</v>
      </c>
      <c r="S4" s="4" t="s">
        <v>101</v>
      </c>
      <c r="T4" s="4" t="s">
        <v>101</v>
      </c>
      <c r="U4" s="4" t="s">
        <v>27</v>
      </c>
      <c r="V4" s="5">
        <f>1-COUNTIF(D4:U4,"不符合")/(COUNTIF(D4:U4,"不符合")+COUNTIF(D4:U4,"符合"))</f>
        <v>1</v>
      </c>
    </row>
    <row r="5" ht="35" customHeight="1" spans="1:22">
      <c r="A5" s="13"/>
      <c r="B5" s="13"/>
      <c r="C5" s="4" t="s">
        <v>132</v>
      </c>
      <c r="D5" s="4" t="s">
        <v>101</v>
      </c>
      <c r="E5" s="4" t="s">
        <v>101</v>
      </c>
      <c r="F5" s="4" t="s">
        <v>101</v>
      </c>
      <c r="G5" s="4" t="s">
        <v>101</v>
      </c>
      <c r="H5" s="4" t="s">
        <v>101</v>
      </c>
      <c r="I5" s="4" t="s">
        <v>101</v>
      </c>
      <c r="J5" s="4" t="s">
        <v>101</v>
      </c>
      <c r="K5" s="4" t="s">
        <v>101</v>
      </c>
      <c r="L5" s="4" t="s">
        <v>101</v>
      </c>
      <c r="M5" s="4" t="s">
        <v>101</v>
      </c>
      <c r="N5" s="4" t="s">
        <v>101</v>
      </c>
      <c r="O5" s="4" t="s">
        <v>101</v>
      </c>
      <c r="P5" s="4" t="s">
        <v>101</v>
      </c>
      <c r="Q5" s="4" t="s">
        <v>101</v>
      </c>
      <c r="R5" s="4" t="s">
        <v>101</v>
      </c>
      <c r="S5" s="4" t="s">
        <v>101</v>
      </c>
      <c r="T5" s="4" t="s">
        <v>101</v>
      </c>
      <c r="U5" s="4" t="s">
        <v>27</v>
      </c>
      <c r="V5" s="5">
        <f>1-COUNTIF(D5:U5,"不符合")/(COUNTIF(D5:U5,"不符合")+COUNTIF(D5:U5,"符合"))</f>
        <v>1</v>
      </c>
    </row>
    <row r="6" ht="55" customHeight="1" spans="1:22">
      <c r="A6" s="4">
        <v>2</v>
      </c>
      <c r="B6" s="4" t="s">
        <v>133</v>
      </c>
      <c r="C6" s="4" t="s">
        <v>134</v>
      </c>
      <c r="D6" s="4" t="s">
        <v>101</v>
      </c>
      <c r="E6" s="4" t="s">
        <v>101</v>
      </c>
      <c r="F6" s="4" t="s">
        <v>101</v>
      </c>
      <c r="G6" s="4" t="s">
        <v>101</v>
      </c>
      <c r="H6" s="4" t="s">
        <v>101</v>
      </c>
      <c r="I6" s="4" t="s">
        <v>101</v>
      </c>
      <c r="J6" s="4" t="s">
        <v>101</v>
      </c>
      <c r="K6" s="4" t="s">
        <v>101</v>
      </c>
      <c r="L6" s="4" t="s">
        <v>101</v>
      </c>
      <c r="M6" s="4" t="s">
        <v>101</v>
      </c>
      <c r="N6" s="4" t="s">
        <v>101</v>
      </c>
      <c r="O6" s="4" t="s">
        <v>101</v>
      </c>
      <c r="P6" s="4" t="s">
        <v>101</v>
      </c>
      <c r="Q6" s="4" t="s">
        <v>101</v>
      </c>
      <c r="R6" s="4" t="s">
        <v>101</v>
      </c>
      <c r="S6" s="4" t="s">
        <v>101</v>
      </c>
      <c r="T6" s="4" t="s">
        <v>101</v>
      </c>
      <c r="U6" s="4" t="s">
        <v>27</v>
      </c>
      <c r="V6" s="5">
        <f>1-COUNTIF(D6:U6,"不符合")/(COUNTIF(D6:U6,"不符合")+COUNTIF(D6:U6,"符合"))</f>
        <v>1</v>
      </c>
    </row>
    <row r="7" ht="55" customHeight="1" spans="1:22">
      <c r="A7" s="4">
        <v>3</v>
      </c>
      <c r="B7" s="4" t="s">
        <v>135</v>
      </c>
      <c r="C7" s="4" t="s">
        <v>136</v>
      </c>
      <c r="D7" s="4" t="s">
        <v>101</v>
      </c>
      <c r="E7" s="4" t="s">
        <v>101</v>
      </c>
      <c r="F7" s="4" t="s">
        <v>101</v>
      </c>
      <c r="G7" s="4" t="s">
        <v>101</v>
      </c>
      <c r="H7" s="4" t="s">
        <v>101</v>
      </c>
      <c r="I7" s="4" t="s">
        <v>101</v>
      </c>
      <c r="J7" s="4" t="s">
        <v>101</v>
      </c>
      <c r="K7" s="4" t="s">
        <v>101</v>
      </c>
      <c r="L7" s="4" t="s">
        <v>101</v>
      </c>
      <c r="M7" s="4" t="s">
        <v>101</v>
      </c>
      <c r="N7" s="4" t="s">
        <v>101</v>
      </c>
      <c r="O7" s="4" t="s">
        <v>101</v>
      </c>
      <c r="P7" s="4" t="s">
        <v>101</v>
      </c>
      <c r="Q7" s="4" t="s">
        <v>101</v>
      </c>
      <c r="R7" s="4" t="s">
        <v>101</v>
      </c>
      <c r="S7" s="4" t="s">
        <v>101</v>
      </c>
      <c r="T7" s="4" t="s">
        <v>101</v>
      </c>
      <c r="U7" s="4" t="s">
        <v>27</v>
      </c>
      <c r="V7" s="5">
        <f>1-COUNTIF(D7:U7,"不符合")/(COUNTIF(D7:U7,"不符合")+COUNTIF(D7:U7,"符合"))</f>
        <v>1</v>
      </c>
    </row>
    <row r="8" ht="25" customHeight="1" spans="1:22">
      <c r="A8" s="4" t="s">
        <v>31</v>
      </c>
      <c r="B8" s="4"/>
      <c r="C8" s="4" t="s">
        <v>107</v>
      </c>
      <c r="D8" s="4" t="s">
        <v>108</v>
      </c>
      <c r="E8" s="4" t="s">
        <v>108</v>
      </c>
      <c r="F8" s="4" t="s">
        <v>108</v>
      </c>
      <c r="G8" s="4" t="s">
        <v>108</v>
      </c>
      <c r="H8" s="4" t="s">
        <v>108</v>
      </c>
      <c r="I8" s="4" t="s">
        <v>108</v>
      </c>
      <c r="J8" s="4" t="s">
        <v>108</v>
      </c>
      <c r="K8" s="4" t="s">
        <v>108</v>
      </c>
      <c r="L8" s="4" t="s">
        <v>108</v>
      </c>
      <c r="M8" s="4" t="s">
        <v>108</v>
      </c>
      <c r="N8" s="4" t="s">
        <v>108</v>
      </c>
      <c r="O8" s="4" t="s">
        <v>108</v>
      </c>
      <c r="P8" s="4" t="s">
        <v>108</v>
      </c>
      <c r="Q8" s="4" t="s">
        <v>108</v>
      </c>
      <c r="R8" s="4" t="s">
        <v>108</v>
      </c>
      <c r="S8" s="4" t="s">
        <v>108</v>
      </c>
      <c r="T8" s="4" t="s">
        <v>108</v>
      </c>
      <c r="U8" s="4" t="s">
        <v>27</v>
      </c>
      <c r="V8" s="4" t="s">
        <v>27</v>
      </c>
    </row>
    <row r="9" ht="25" customHeight="1" spans="1:22">
      <c r="A9" s="4"/>
      <c r="B9" s="4"/>
      <c r="C9" s="4" t="s">
        <v>5</v>
      </c>
      <c r="D9" s="4" t="s">
        <v>5</v>
      </c>
      <c r="E9" s="4"/>
      <c r="F9" s="4"/>
      <c r="G9" s="4"/>
      <c r="H9" s="4"/>
      <c r="I9" s="4"/>
      <c r="J9" s="4" t="s">
        <v>5</v>
      </c>
      <c r="K9" s="4"/>
      <c r="L9" s="4"/>
      <c r="M9" s="4"/>
      <c r="N9" s="4"/>
      <c r="O9" s="4"/>
      <c r="P9" s="4" t="s">
        <v>5</v>
      </c>
      <c r="Q9" s="4"/>
      <c r="R9" s="4"/>
      <c r="S9" s="4"/>
      <c r="T9" s="4"/>
      <c r="U9" s="4"/>
      <c r="V9" s="8">
        <f>1-COUNTIF(D8:U8,"是")/(COUNTIF(D8:U8,"是")+COUNTIF(D8:U8,"否"))</f>
        <v>1</v>
      </c>
    </row>
    <row r="10" ht="35" customHeight="1" spans="1:22">
      <c r="A10" s="9" t="s">
        <v>109</v>
      </c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6" spans="1:22">
      <c r="A16" t="s">
        <v>137</v>
      </c>
    </row>
  </sheetData>
  <mergeCells count="17">
    <mergeCell ref="D2:I2"/>
    <mergeCell ref="J2:O2"/>
    <mergeCell ref="P2:U2"/>
    <mergeCell ref="D9:I9"/>
    <mergeCell ref="J9:O9"/>
    <mergeCell ref="P9:U9"/>
    <mergeCell ref="A10:C10"/>
    <mergeCell ref="D10:I10"/>
    <mergeCell ref="J10:O10"/>
    <mergeCell ref="P10:V10"/>
    <mergeCell ref="A2:A3"/>
    <mergeCell ref="A4:A5"/>
    <mergeCell ref="B2:B3"/>
    <mergeCell ref="B4:B5"/>
    <mergeCell ref="C2:C3"/>
    <mergeCell ref="V2:V3"/>
    <mergeCell ref="A8:B9"/>
  </mergeCells>
  <pageMargins left="0.750694444444444" right="0.750694444444444" top="1" bottom="1" header="0.5" footer="0.5"/>
  <pageSetup paperSize="9" scale="88" orientation="portrait" horizontalDpi="600"/>
  <headerFooter/>
  <colBreaks count="2" manualBreakCount="2">
    <brk id="9" max="9" man="1"/>
    <brk id="15" max="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B10"/>
  <sheetViews>
    <sheetView view="pageBreakPreview" zoomScaleNormal="100" topLeftCell="N1" workbookViewId="0">
      <selection activeCell="D3" sqref="D3:I3"/>
    </sheetView>
  </sheetViews>
  <sheetFormatPr defaultColWidth="9" defaultRowHeight="13.5"/>
  <cols>
    <col min="1" max="1" width="7.625" customWidth="1"/>
    <col min="3" max="3" width="10.375" customWidth="1"/>
    <col min="4" max="21" width="10.625" customWidth="1"/>
    <col min="22" max="27" width="8.625" customWidth="1"/>
    <col min="28" max="28" width="10.625" customWidth="1"/>
  </cols>
  <sheetData>
    <row r="1" ht="15" customHeight="1" spans="1:28">
      <c r="A1" s="1" t="s">
        <v>138</v>
      </c>
      <c r="B1" s="1"/>
      <c r="C1" s="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5" customHeight="1" spans="1:28">
      <c r="A2" s="3" t="s">
        <v>17</v>
      </c>
      <c r="B2" s="3" t="s">
        <v>96</v>
      </c>
      <c r="C2" s="3" t="s">
        <v>97</v>
      </c>
      <c r="D2" s="3" t="s">
        <v>98</v>
      </c>
      <c r="E2" s="3"/>
      <c r="F2" s="3"/>
      <c r="G2" s="3"/>
      <c r="H2" s="3"/>
      <c r="I2" s="3"/>
      <c r="J2" s="3" t="s">
        <v>98</v>
      </c>
      <c r="K2" s="3"/>
      <c r="L2" s="3"/>
      <c r="M2" s="3"/>
      <c r="N2" s="3"/>
      <c r="O2" s="3"/>
      <c r="P2" s="3" t="s">
        <v>98</v>
      </c>
      <c r="Q2" s="3"/>
      <c r="R2" s="3"/>
      <c r="S2" s="3"/>
      <c r="T2" s="3"/>
      <c r="U2" s="3"/>
      <c r="V2" s="3" t="s">
        <v>98</v>
      </c>
      <c r="W2" s="3"/>
      <c r="X2" s="3"/>
      <c r="Y2" s="3"/>
      <c r="Z2" s="3"/>
      <c r="AA2" s="3"/>
      <c r="AB2" s="3" t="s">
        <v>99</v>
      </c>
    </row>
    <row r="3" ht="25" customHeight="1" spans="1:28">
      <c r="A3" s="3"/>
      <c r="B3" s="3"/>
      <c r="C3" s="3"/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4" t="s">
        <v>48</v>
      </c>
      <c r="U3" s="4" t="s">
        <v>51</v>
      </c>
      <c r="V3" s="4" t="s">
        <v>52</v>
      </c>
      <c r="W3" s="4" t="s">
        <v>53</v>
      </c>
      <c r="X3" s="4" t="s">
        <v>54</v>
      </c>
      <c r="Y3" s="4" t="s">
        <v>55</v>
      </c>
      <c r="Z3" s="4" t="s">
        <v>56</v>
      </c>
      <c r="AA3" s="4" t="s">
        <v>57</v>
      </c>
      <c r="AB3" s="3"/>
    </row>
    <row r="4" ht="45" customHeight="1" spans="1:28">
      <c r="A4" s="12">
        <v>1</v>
      </c>
      <c r="B4" s="12" t="s">
        <v>139</v>
      </c>
      <c r="C4" s="4" t="s">
        <v>140</v>
      </c>
      <c r="D4" s="4" t="s">
        <v>101</v>
      </c>
      <c r="E4" s="4" t="s">
        <v>101</v>
      </c>
      <c r="F4" s="4" t="s">
        <v>101</v>
      </c>
      <c r="G4" s="4" t="s">
        <v>101</v>
      </c>
      <c r="H4" s="4" t="s">
        <v>101</v>
      </c>
      <c r="I4" s="4" t="s">
        <v>101</v>
      </c>
      <c r="J4" s="4" t="s">
        <v>101</v>
      </c>
      <c r="K4" s="4" t="s">
        <v>101</v>
      </c>
      <c r="L4" s="4" t="s">
        <v>101</v>
      </c>
      <c r="M4" s="4" t="s">
        <v>101</v>
      </c>
      <c r="N4" s="4" t="s">
        <v>101</v>
      </c>
      <c r="O4" s="4" t="s">
        <v>101</v>
      </c>
      <c r="P4" s="4" t="s">
        <v>101</v>
      </c>
      <c r="Q4" s="4" t="s">
        <v>101</v>
      </c>
      <c r="R4" s="4" t="s">
        <v>101</v>
      </c>
      <c r="S4" s="4" t="s">
        <v>101</v>
      </c>
      <c r="T4" s="4" t="s">
        <v>101</v>
      </c>
      <c r="U4" s="4" t="s">
        <v>101</v>
      </c>
      <c r="V4" s="4" t="s">
        <v>101</v>
      </c>
      <c r="W4" s="4" t="s">
        <v>101</v>
      </c>
      <c r="X4" s="4" t="s">
        <v>101</v>
      </c>
      <c r="Y4" s="4" t="s">
        <v>101</v>
      </c>
      <c r="Z4" s="4" t="s">
        <v>101</v>
      </c>
      <c r="AA4" s="4" t="s">
        <v>101</v>
      </c>
      <c r="AB4" s="5">
        <f>1-COUNTIF(D4:AA4,"不符合")/(COUNTIF(D4:AA4,"不符合")+COUNTIF(D4:AA4,"符合"))</f>
        <v>1</v>
      </c>
    </row>
    <row r="5" ht="35" customHeight="1" spans="1:28">
      <c r="A5" s="13"/>
      <c r="B5" s="13"/>
      <c r="C5" s="4" t="s">
        <v>141</v>
      </c>
      <c r="D5" s="4" t="s">
        <v>101</v>
      </c>
      <c r="E5" s="4" t="s">
        <v>101</v>
      </c>
      <c r="F5" s="4" t="s">
        <v>101</v>
      </c>
      <c r="G5" s="4" t="s">
        <v>101</v>
      </c>
      <c r="H5" s="4" t="s">
        <v>101</v>
      </c>
      <c r="I5" s="4" t="s">
        <v>101</v>
      </c>
      <c r="J5" s="4" t="s">
        <v>101</v>
      </c>
      <c r="K5" s="4" t="s">
        <v>101</v>
      </c>
      <c r="L5" s="4" t="s">
        <v>101</v>
      </c>
      <c r="M5" s="4" t="s">
        <v>101</v>
      </c>
      <c r="N5" s="4" t="s">
        <v>101</v>
      </c>
      <c r="O5" s="4" t="s">
        <v>101</v>
      </c>
      <c r="P5" s="4" t="s">
        <v>101</v>
      </c>
      <c r="Q5" s="4" t="s">
        <v>101</v>
      </c>
      <c r="R5" s="4" t="s">
        <v>101</v>
      </c>
      <c r="S5" s="4" t="s">
        <v>101</v>
      </c>
      <c r="T5" s="4" t="s">
        <v>101</v>
      </c>
      <c r="U5" s="4" t="s">
        <v>101</v>
      </c>
      <c r="V5" s="4" t="s">
        <v>101</v>
      </c>
      <c r="W5" s="4" t="s">
        <v>101</v>
      </c>
      <c r="X5" s="4" t="s">
        <v>101</v>
      </c>
      <c r="Y5" s="4" t="s">
        <v>101</v>
      </c>
      <c r="Z5" s="4" t="s">
        <v>101</v>
      </c>
      <c r="AA5" s="4" t="s">
        <v>101</v>
      </c>
      <c r="AB5" s="5">
        <f>1-COUNTIF(D5:AA5,"不符合")/(COUNTIF(D5:AA5,"不符合")+COUNTIF(D5:AA5,"符合"))</f>
        <v>1</v>
      </c>
    </row>
    <row r="6" ht="35" customHeight="1" spans="1:28">
      <c r="A6" s="4">
        <v>2</v>
      </c>
      <c r="B6" s="4" t="s">
        <v>142</v>
      </c>
      <c r="C6" s="4" t="s">
        <v>143</v>
      </c>
      <c r="D6" s="4" t="s">
        <v>101</v>
      </c>
      <c r="E6" s="4" t="s">
        <v>101</v>
      </c>
      <c r="F6" s="4" t="s">
        <v>101</v>
      </c>
      <c r="G6" s="4" t="s">
        <v>101</v>
      </c>
      <c r="H6" s="4" t="s">
        <v>101</v>
      </c>
      <c r="I6" s="4" t="s">
        <v>101</v>
      </c>
      <c r="J6" s="4" t="s">
        <v>101</v>
      </c>
      <c r="K6" s="4" t="s">
        <v>101</v>
      </c>
      <c r="L6" s="4" t="s">
        <v>101</v>
      </c>
      <c r="M6" s="4" t="s">
        <v>101</v>
      </c>
      <c r="N6" s="4" t="s">
        <v>101</v>
      </c>
      <c r="O6" s="4" t="s">
        <v>101</v>
      </c>
      <c r="P6" s="4" t="s">
        <v>101</v>
      </c>
      <c r="Q6" s="4" t="s">
        <v>101</v>
      </c>
      <c r="R6" s="4" t="s">
        <v>101</v>
      </c>
      <c r="S6" s="4" t="s">
        <v>101</v>
      </c>
      <c r="T6" s="4" t="s">
        <v>101</v>
      </c>
      <c r="U6" s="4" t="s">
        <v>101</v>
      </c>
      <c r="V6" s="4" t="s">
        <v>101</v>
      </c>
      <c r="W6" s="4" t="s">
        <v>101</v>
      </c>
      <c r="X6" s="4" t="s">
        <v>101</v>
      </c>
      <c r="Y6" s="4" t="s">
        <v>101</v>
      </c>
      <c r="Z6" s="4" t="s">
        <v>101</v>
      </c>
      <c r="AA6" s="4" t="s">
        <v>101</v>
      </c>
      <c r="AB6" s="5">
        <f>1-COUNTIF(D6:AA6,"不符合")/(COUNTIF(D6:AA6,"不符合")+COUNTIF(D6:AA6,"符合"))</f>
        <v>1</v>
      </c>
    </row>
    <row r="7" ht="35" customHeight="1" spans="1:28">
      <c r="A7" s="4">
        <v>3</v>
      </c>
      <c r="B7" s="4" t="s">
        <v>144</v>
      </c>
      <c r="C7" s="4" t="s">
        <v>145</v>
      </c>
      <c r="D7" s="4" t="s">
        <v>101</v>
      </c>
      <c r="E7" s="4" t="s">
        <v>101</v>
      </c>
      <c r="F7" s="4" t="s">
        <v>101</v>
      </c>
      <c r="G7" s="4" t="s">
        <v>101</v>
      </c>
      <c r="H7" s="4" t="s">
        <v>101</v>
      </c>
      <c r="I7" s="4" t="s">
        <v>101</v>
      </c>
      <c r="J7" s="4" t="s">
        <v>101</v>
      </c>
      <c r="K7" s="4" t="s">
        <v>101</v>
      </c>
      <c r="L7" s="4" t="s">
        <v>101</v>
      </c>
      <c r="M7" s="4" t="s">
        <v>101</v>
      </c>
      <c r="N7" s="4" t="s">
        <v>101</v>
      </c>
      <c r="O7" s="4" t="s">
        <v>101</v>
      </c>
      <c r="P7" s="4" t="s">
        <v>101</v>
      </c>
      <c r="Q7" s="4" t="s">
        <v>101</v>
      </c>
      <c r="R7" s="4" t="s">
        <v>101</v>
      </c>
      <c r="S7" s="4" t="s">
        <v>101</v>
      </c>
      <c r="T7" s="4" t="s">
        <v>101</v>
      </c>
      <c r="U7" s="4" t="s">
        <v>101</v>
      </c>
      <c r="V7" s="4" t="s">
        <v>101</v>
      </c>
      <c r="W7" s="4" t="s">
        <v>101</v>
      </c>
      <c r="X7" s="4" t="s">
        <v>101</v>
      </c>
      <c r="Y7" s="4" t="s">
        <v>101</v>
      </c>
      <c r="Z7" s="4" t="s">
        <v>101</v>
      </c>
      <c r="AA7" s="4" t="s">
        <v>101</v>
      </c>
      <c r="AB7" s="5">
        <f>1-COUNTIF(D7:AA7,"不符合")/(COUNTIF(D7:AA7,"不符合")+COUNTIF(D7:AA7,"符合"))</f>
        <v>1</v>
      </c>
    </row>
    <row r="8" ht="25" customHeight="1" spans="1:28">
      <c r="A8" s="4" t="s">
        <v>49</v>
      </c>
      <c r="B8" s="4"/>
      <c r="C8" s="4" t="s">
        <v>107</v>
      </c>
      <c r="D8" s="4" t="s">
        <v>108</v>
      </c>
      <c r="E8" s="4" t="s">
        <v>108</v>
      </c>
      <c r="F8" s="4" t="s">
        <v>108</v>
      </c>
      <c r="G8" s="4" t="s">
        <v>108</v>
      </c>
      <c r="H8" s="4" t="s">
        <v>108</v>
      </c>
      <c r="I8" s="4" t="s">
        <v>108</v>
      </c>
      <c r="J8" s="4" t="s">
        <v>108</v>
      </c>
      <c r="K8" s="4" t="s">
        <v>108</v>
      </c>
      <c r="L8" s="4" t="s">
        <v>108</v>
      </c>
      <c r="M8" s="4" t="s">
        <v>108</v>
      </c>
      <c r="N8" s="4" t="s">
        <v>108</v>
      </c>
      <c r="O8" s="4" t="s">
        <v>108</v>
      </c>
      <c r="P8" s="4" t="s">
        <v>108</v>
      </c>
      <c r="Q8" s="4" t="s">
        <v>108</v>
      </c>
      <c r="R8" s="4" t="s">
        <v>108</v>
      </c>
      <c r="S8" s="4" t="s">
        <v>108</v>
      </c>
      <c r="T8" s="4" t="s">
        <v>108</v>
      </c>
      <c r="U8" s="4" t="s">
        <v>108</v>
      </c>
      <c r="V8" s="4" t="s">
        <v>108</v>
      </c>
      <c r="W8" s="4" t="s">
        <v>108</v>
      </c>
      <c r="X8" s="4" t="s">
        <v>108</v>
      </c>
      <c r="Y8" s="4" t="s">
        <v>108</v>
      </c>
      <c r="Z8" s="4" t="s">
        <v>108</v>
      </c>
      <c r="AA8" s="4" t="s">
        <v>108</v>
      </c>
      <c r="AB8" s="4" t="s">
        <v>27</v>
      </c>
    </row>
    <row r="9" ht="25" customHeight="1" spans="1:28">
      <c r="A9" s="4"/>
      <c r="B9" s="4"/>
      <c r="C9" s="4" t="s">
        <v>5</v>
      </c>
      <c r="D9" s="4" t="s">
        <v>5</v>
      </c>
      <c r="E9" s="4"/>
      <c r="F9" s="4"/>
      <c r="G9" s="4"/>
      <c r="H9" s="4"/>
      <c r="I9" s="4"/>
      <c r="J9" s="4" t="s">
        <v>5</v>
      </c>
      <c r="K9" s="4"/>
      <c r="L9" s="4"/>
      <c r="M9" s="4"/>
      <c r="N9" s="4"/>
      <c r="O9" s="4"/>
      <c r="P9" s="4" t="s">
        <v>5</v>
      </c>
      <c r="Q9" s="4"/>
      <c r="R9" s="4"/>
      <c r="S9" s="4"/>
      <c r="T9" s="4"/>
      <c r="U9" s="4"/>
      <c r="V9" s="4" t="s">
        <v>5</v>
      </c>
      <c r="W9" s="4"/>
      <c r="X9" s="4"/>
      <c r="Y9" s="4"/>
      <c r="Z9" s="4"/>
      <c r="AA9" s="4"/>
      <c r="AB9" s="8">
        <f>1-COUNTIF(D8:AA8,"是")/(COUNTIF(D8:AA8,"是")+COUNTIF(D8:AA8,"否"))</f>
        <v>1</v>
      </c>
    </row>
    <row r="10" ht="35" customHeight="1" spans="1:28">
      <c r="A10" s="9" t="s">
        <v>109</v>
      </c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</sheetData>
  <mergeCells count="20">
    <mergeCell ref="D2:I2"/>
    <mergeCell ref="J2:O2"/>
    <mergeCell ref="P2:U2"/>
    <mergeCell ref="V2:AA2"/>
    <mergeCell ref="D9:I9"/>
    <mergeCell ref="J9:O9"/>
    <mergeCell ref="P9:U9"/>
    <mergeCell ref="V9:AA9"/>
    <mergeCell ref="A10:C10"/>
    <mergeCell ref="D10:I10"/>
    <mergeCell ref="J10:O10"/>
    <mergeCell ref="P10:U10"/>
    <mergeCell ref="V10:AB10"/>
    <mergeCell ref="A2:A3"/>
    <mergeCell ref="A4:A5"/>
    <mergeCell ref="B2:B3"/>
    <mergeCell ref="B4:B5"/>
    <mergeCell ref="C2:C3"/>
    <mergeCell ref="AB2:AB3"/>
    <mergeCell ref="A8:B9"/>
  </mergeCells>
  <pageMargins left="0.750694444444444" right="0.750694444444444" top="1" bottom="1" header="0.5" footer="0.5"/>
  <pageSetup paperSize="9" scale="88" orientation="portrait" horizontalDpi="600"/>
  <headerFooter/>
  <colBreaks count="3" manualBreakCount="3">
    <brk id="9" max="9" man="1"/>
    <brk id="15" max="9" man="1"/>
    <brk id="21" max="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J19"/>
  <sheetViews>
    <sheetView view="pageBreakPreview" zoomScaleNormal="100" topLeftCell="A7" workbookViewId="0">
      <selection activeCell="O16" sqref="O16"/>
    </sheetView>
  </sheetViews>
  <sheetFormatPr defaultColWidth="9" defaultRowHeight="13.5"/>
  <cols>
    <col min="1" max="1" width="7.625" customWidth="1"/>
    <col min="3" max="3" width="10.375" customWidth="1"/>
    <col min="4" max="9" width="8.625" customWidth="1"/>
    <col min="10" max="10" width="10.625" customWidth="1"/>
  </cols>
  <sheetData>
    <row r="1" ht="15" customHeight="1" spans="1:10">
      <c r="A1" s="1" t="s">
        <v>146</v>
      </c>
      <c r="B1" s="1"/>
      <c r="C1" s="1"/>
      <c r="D1" s="2"/>
      <c r="E1" s="2"/>
      <c r="F1" s="2"/>
      <c r="G1" s="2"/>
      <c r="H1" s="2"/>
      <c r="I1" s="2"/>
      <c r="J1" s="2"/>
    </row>
    <row r="2" ht="25" customHeight="1" spans="1:10">
      <c r="A2" s="3" t="s">
        <v>17</v>
      </c>
      <c r="B2" s="3" t="s">
        <v>96</v>
      </c>
      <c r="C2" s="3" t="s">
        <v>97</v>
      </c>
      <c r="D2" s="3" t="s">
        <v>98</v>
      </c>
      <c r="E2" s="3"/>
      <c r="F2" s="3"/>
      <c r="G2" s="3"/>
      <c r="H2" s="3"/>
      <c r="I2" s="3"/>
      <c r="J2" s="3" t="s">
        <v>99</v>
      </c>
    </row>
    <row r="3" ht="25" customHeight="1" spans="1:10">
      <c r="A3" s="3"/>
      <c r="B3" s="3"/>
      <c r="C3" s="3"/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3"/>
    </row>
    <row r="4" ht="35" customHeight="1" spans="1:10">
      <c r="A4" s="4">
        <v>1</v>
      </c>
      <c r="B4" s="4" t="s">
        <v>130</v>
      </c>
      <c r="C4" s="4" t="s">
        <v>147</v>
      </c>
      <c r="D4" s="4" t="s">
        <v>101</v>
      </c>
      <c r="E4" s="4" t="s">
        <v>101</v>
      </c>
      <c r="F4" s="4" t="s">
        <v>101</v>
      </c>
      <c r="G4" s="4" t="s">
        <v>101</v>
      </c>
      <c r="H4" s="4" t="s">
        <v>101</v>
      </c>
      <c r="I4" s="4" t="s">
        <v>101</v>
      </c>
      <c r="J4" s="5">
        <f>1-COUNTIF(D4:I4,"不符合")/(COUNTIF(D4:I4,"不符合")+COUNTIF(D4:I4,"符合"))</f>
        <v>1</v>
      </c>
    </row>
    <row r="5" ht="35" customHeight="1" spans="1:10">
      <c r="A5" s="4"/>
      <c r="B5" s="4"/>
      <c r="C5" s="4" t="s">
        <v>148</v>
      </c>
      <c r="D5" s="4" t="s">
        <v>101</v>
      </c>
      <c r="E5" s="4" t="s">
        <v>101</v>
      </c>
      <c r="F5" s="4" t="s">
        <v>101</v>
      </c>
      <c r="G5" s="4" t="s">
        <v>101</v>
      </c>
      <c r="H5" s="4" t="s">
        <v>101</v>
      </c>
      <c r="I5" s="4" t="s">
        <v>101</v>
      </c>
      <c r="J5" s="5">
        <f>1-COUNTIF(D5:I5,"不符合")/(COUNTIF(D5:I5,"不符合")+COUNTIF(D5:I5,"符合"))</f>
        <v>1</v>
      </c>
    </row>
    <row r="6" ht="35" customHeight="1" spans="1:10">
      <c r="A6" s="4"/>
      <c r="B6" s="4"/>
      <c r="C6" s="4" t="s">
        <v>149</v>
      </c>
      <c r="D6" s="4" t="s">
        <v>101</v>
      </c>
      <c r="E6" s="4" t="s">
        <v>101</v>
      </c>
      <c r="F6" s="4" t="s">
        <v>101</v>
      </c>
      <c r="G6" s="4" t="s">
        <v>101</v>
      </c>
      <c r="H6" s="4" t="s">
        <v>101</v>
      </c>
      <c r="I6" s="4" t="s">
        <v>101</v>
      </c>
      <c r="J6" s="5">
        <f>1-COUNTIF(D6:I6,"不符合")/(COUNTIF(D6:I6,"不符合")+COUNTIF(D6:I6,"符合"))</f>
        <v>1</v>
      </c>
    </row>
    <row r="7" ht="35" customHeight="1" spans="1:10">
      <c r="A7" s="4"/>
      <c r="B7" s="4"/>
      <c r="C7" s="4" t="s">
        <v>150</v>
      </c>
      <c r="D7" s="4" t="s">
        <v>101</v>
      </c>
      <c r="E7" s="4" t="s">
        <v>101</v>
      </c>
      <c r="F7" s="4" t="s">
        <v>101</v>
      </c>
      <c r="G7" s="4" t="s">
        <v>101</v>
      </c>
      <c r="H7" s="4" t="s">
        <v>101</v>
      </c>
      <c r="I7" s="4" t="s">
        <v>101</v>
      </c>
      <c r="J7" s="5">
        <f>1-COUNTIF(D7:I7,"不符合")/(COUNTIF(D7:I7,"不符合")+COUNTIF(D7:I7,"符合"))</f>
        <v>1</v>
      </c>
    </row>
    <row r="8" ht="25" customHeight="1" spans="1:10">
      <c r="A8" s="4" t="s">
        <v>14</v>
      </c>
      <c r="B8" s="4"/>
      <c r="C8" s="4" t="s">
        <v>107</v>
      </c>
      <c r="D8" s="4" t="s">
        <v>108</v>
      </c>
      <c r="E8" s="4" t="s">
        <v>108</v>
      </c>
      <c r="F8" s="4" t="s">
        <v>108</v>
      </c>
      <c r="G8" s="4" t="s">
        <v>108</v>
      </c>
      <c r="H8" s="4" t="s">
        <v>108</v>
      </c>
      <c r="I8" s="4" t="s">
        <v>108</v>
      </c>
      <c r="J8" s="4" t="s">
        <v>27</v>
      </c>
    </row>
    <row r="9" ht="66" customHeight="1" spans="1:10">
      <c r="A9" s="6"/>
      <c r="B9" s="6"/>
      <c r="C9" s="6"/>
      <c r="D9" s="7"/>
      <c r="E9" s="7"/>
      <c r="F9" s="7"/>
      <c r="G9" s="7"/>
      <c r="H9" s="7"/>
      <c r="I9" s="7"/>
      <c r="J9" s="7"/>
    </row>
    <row r="10" ht="15" customHeight="1" spans="1:10">
      <c r="A10" s="1" t="s">
        <v>146</v>
      </c>
      <c r="B10" s="1"/>
      <c r="C10" s="1"/>
      <c r="D10" s="2"/>
      <c r="E10" s="2"/>
      <c r="F10" s="2"/>
      <c r="G10" s="2"/>
      <c r="H10" s="2"/>
      <c r="I10" s="2"/>
      <c r="J10" s="2"/>
    </row>
    <row r="11" ht="25" customHeight="1" spans="1:10">
      <c r="A11" s="3" t="s">
        <v>17</v>
      </c>
      <c r="B11" s="3" t="s">
        <v>96</v>
      </c>
      <c r="C11" s="3" t="s">
        <v>97</v>
      </c>
      <c r="D11" s="3" t="s">
        <v>98</v>
      </c>
      <c r="E11" s="3"/>
      <c r="F11" s="3"/>
      <c r="G11" s="3"/>
      <c r="H11" s="3"/>
      <c r="I11" s="3"/>
      <c r="J11" s="3" t="s">
        <v>99</v>
      </c>
    </row>
    <row r="12" ht="25" customHeight="1" spans="1:10">
      <c r="A12" s="3"/>
      <c r="B12" s="3"/>
      <c r="C12" s="3"/>
      <c r="D12" s="4" t="s">
        <v>38</v>
      </c>
      <c r="E12" s="4" t="s">
        <v>39</v>
      </c>
      <c r="F12" s="4" t="s">
        <v>40</v>
      </c>
      <c r="G12" s="4" t="s">
        <v>41</v>
      </c>
      <c r="H12" s="4" t="s">
        <v>42</v>
      </c>
      <c r="I12" s="4" t="s">
        <v>27</v>
      </c>
      <c r="J12" s="3"/>
    </row>
    <row r="13" ht="35" customHeight="1" spans="1:10">
      <c r="A13" s="4">
        <v>1</v>
      </c>
      <c r="B13" s="4" t="s">
        <v>130</v>
      </c>
      <c r="C13" s="4" t="s">
        <v>147</v>
      </c>
      <c r="D13" s="4" t="s">
        <v>101</v>
      </c>
      <c r="E13" s="4" t="s">
        <v>101</v>
      </c>
      <c r="F13" s="4" t="s">
        <v>101</v>
      </c>
      <c r="G13" s="4" t="s">
        <v>101</v>
      </c>
      <c r="H13" s="4" t="s">
        <v>101</v>
      </c>
      <c r="I13" s="4" t="s">
        <v>27</v>
      </c>
      <c r="J13" s="5">
        <f>1-COUNTIF(D13:I13,"不符合")/(COUNTIF(D13:I13,"不符合")+COUNTIF(D13:I13,"符合"))</f>
        <v>1</v>
      </c>
    </row>
    <row r="14" ht="35" customHeight="1" spans="1:10">
      <c r="A14" s="4"/>
      <c r="B14" s="4"/>
      <c r="C14" s="4" t="s">
        <v>148</v>
      </c>
      <c r="D14" s="4" t="s">
        <v>101</v>
      </c>
      <c r="E14" s="4" t="s">
        <v>101</v>
      </c>
      <c r="F14" s="4" t="s">
        <v>101</v>
      </c>
      <c r="G14" s="4" t="s">
        <v>101</v>
      </c>
      <c r="H14" s="4" t="s">
        <v>101</v>
      </c>
      <c r="I14" s="4" t="s">
        <v>27</v>
      </c>
      <c r="J14" s="5">
        <f>1-COUNTIF(D14:I14,"不符合")/(COUNTIF(D14:I14,"不符合")+COUNTIF(D14:I14,"符合"))</f>
        <v>1</v>
      </c>
    </row>
    <row r="15" ht="35" customHeight="1" spans="1:10">
      <c r="A15" s="4"/>
      <c r="B15" s="4"/>
      <c r="C15" s="4" t="s">
        <v>149</v>
      </c>
      <c r="D15" s="4" t="s">
        <v>101</v>
      </c>
      <c r="E15" s="4" t="s">
        <v>101</v>
      </c>
      <c r="F15" s="4" t="s">
        <v>101</v>
      </c>
      <c r="G15" s="4" t="s">
        <v>101</v>
      </c>
      <c r="H15" s="4" t="s">
        <v>101</v>
      </c>
      <c r="I15" s="4" t="s">
        <v>27</v>
      </c>
      <c r="J15" s="5">
        <f>1-COUNTIF(D15:I15,"不符合")/(COUNTIF(D15:I15,"不符合")+COUNTIF(D15:I15,"符合"))</f>
        <v>1</v>
      </c>
    </row>
    <row r="16" ht="35" customHeight="1" spans="1:10">
      <c r="A16" s="4"/>
      <c r="B16" s="4"/>
      <c r="C16" s="4" t="s">
        <v>150</v>
      </c>
      <c r="D16" s="4" t="s">
        <v>101</v>
      </c>
      <c r="E16" s="4" t="s">
        <v>101</v>
      </c>
      <c r="F16" s="4" t="s">
        <v>101</v>
      </c>
      <c r="G16" s="4" t="s">
        <v>101</v>
      </c>
      <c r="H16" s="4" t="s">
        <v>101</v>
      </c>
      <c r="I16" s="4" t="s">
        <v>27</v>
      </c>
      <c r="J16" s="5">
        <f>1-COUNTIF(D16:I16,"不符合")/(COUNTIF(D16:I16,"不符合")+COUNTIF(D16:I16,"符合"))</f>
        <v>1</v>
      </c>
    </row>
    <row r="17" ht="25" customHeight="1" spans="1:10">
      <c r="A17" s="4" t="s">
        <v>14</v>
      </c>
      <c r="B17" s="4"/>
      <c r="C17" s="4" t="s">
        <v>107</v>
      </c>
      <c r="D17" s="4" t="s">
        <v>108</v>
      </c>
      <c r="E17" s="4" t="s">
        <v>108</v>
      </c>
      <c r="F17" s="4" t="s">
        <v>108</v>
      </c>
      <c r="G17" s="4" t="s">
        <v>108</v>
      </c>
      <c r="H17" s="4" t="s">
        <v>108</v>
      </c>
      <c r="I17" s="4" t="s">
        <v>27</v>
      </c>
      <c r="J17" s="4" t="s">
        <v>27</v>
      </c>
    </row>
    <row r="18" ht="25" customHeight="1" spans="1:10">
      <c r="A18" s="4"/>
      <c r="B18" s="4"/>
      <c r="C18" s="4" t="s">
        <v>5</v>
      </c>
      <c r="D18" s="4" t="s">
        <v>5</v>
      </c>
      <c r="E18" s="4"/>
      <c r="F18" s="4"/>
      <c r="G18" s="4"/>
      <c r="H18" s="4"/>
      <c r="I18" s="4"/>
      <c r="J18" s="8">
        <f>1-COUNTIF(D8:I17,"是")/(COUNTIF(D8:I17,"是")+COUNTIF(D8:I17,"否"))</f>
        <v>1</v>
      </c>
    </row>
    <row r="19" ht="35" customHeight="1" spans="1:10">
      <c r="A19" s="9" t="s">
        <v>109</v>
      </c>
      <c r="B19" s="9"/>
      <c r="C19" s="9"/>
      <c r="D19" s="10"/>
      <c r="E19" s="10"/>
      <c r="F19" s="10"/>
      <c r="G19" s="10"/>
      <c r="H19" s="10"/>
      <c r="I19" s="10"/>
      <c r="J19" s="10"/>
    </row>
  </sheetData>
  <mergeCells count="19">
    <mergeCell ref="D2:I2"/>
    <mergeCell ref="A8:B8"/>
    <mergeCell ref="D11:I11"/>
    <mergeCell ref="D18:I18"/>
    <mergeCell ref="A19:C19"/>
    <mergeCell ref="D19:J19"/>
    <mergeCell ref="A2:A3"/>
    <mergeCell ref="A4:A7"/>
    <mergeCell ref="A11:A12"/>
    <mergeCell ref="A13:A16"/>
    <mergeCell ref="B2:B3"/>
    <mergeCell ref="B4:B7"/>
    <mergeCell ref="B11:B12"/>
    <mergeCell ref="B13:B16"/>
    <mergeCell ref="C2:C3"/>
    <mergeCell ref="C11:C12"/>
    <mergeCell ref="J2:J3"/>
    <mergeCell ref="J11:J12"/>
    <mergeCell ref="A17:B18"/>
  </mergeCells>
  <pageMargins left="0.750694444444444" right="0.750694444444444" top="1" bottom="1" header="0.5" footer="0.5"/>
  <pageSetup paperSize="9" scale="88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结果清单</vt:lpstr>
      <vt:lpstr>设备清单</vt:lpstr>
      <vt:lpstr>封面页---安全设施</vt:lpstr>
      <vt:lpstr>分部工程-安全设施</vt:lpstr>
      <vt:lpstr>消防设施</vt:lpstr>
      <vt:lpstr>电气安全</vt:lpstr>
      <vt:lpstr>防护设施</vt:lpstr>
      <vt:lpstr>封面页---生产设备</vt:lpstr>
      <vt:lpstr>分部工程-生产设备</vt:lpstr>
      <vt:lpstr>机械设备</vt:lpstr>
      <vt:lpstr>特种设备</vt:lpstr>
      <vt:lpstr>仪器仪表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苏晓潇</cp:lastModifiedBy>
  <dcterms:created xsi:type="dcterms:W3CDTF">2025-11-10T12:54:00Z</dcterms:created>
  <dcterms:modified xsi:type="dcterms:W3CDTF">2026-04-21T08:11:51Z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9D820F7C9DFC4A07A4C564E3A5F799D8_13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