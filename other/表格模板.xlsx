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Code\Vbird_ESI\other\"/>
    </mc:Choice>
  </mc:AlternateContent>
  <xr:revisionPtr revIDLastSave="0" documentId="13_ncr:1_{372BC87C-A0D3-4C37-B190-B39BEF6615A7}" xr6:coauthVersionLast="47" xr6:coauthVersionMax="47" xr10:uidLastSave="{00000000-0000-0000-0000-000000000000}"/>
  <bookViews>
    <workbookView xWindow="52470" yWindow="2220" windowWidth="14730" windowHeight="12105" firstSheet="2" activeTab="4" xr2:uid="{00000000-000D-0000-FFFF-FFFF00000000}"/>
  </bookViews>
  <sheets>
    <sheet name="检查结果计算表" sheetId="49" r:id="rId1"/>
    <sheet name="封面页---安全设施" sheetId="2" r:id="rId2"/>
    <sheet name="分部工程-安全设施" sheetId="51" r:id="rId3"/>
    <sheet name="消防设施" sheetId="1" r:id="rId4"/>
    <sheet name="电气安全" sheetId="44" r:id="rId5"/>
    <sheet name="防护设施" sheetId="50" r:id="rId6"/>
    <sheet name="封面页---生产设备" sheetId="18" r:id="rId7"/>
    <sheet name="分部工程-生产设备" sheetId="52" r:id="rId8"/>
    <sheet name="机械设备" sheetId="14" r:id="rId9"/>
    <sheet name="特种设备" sheetId="16" r:id="rId10"/>
    <sheet name="仪器仪表" sheetId="17" r:id="rId11"/>
  </sheets>
  <definedNames>
    <definedName name="_xlnm.Print_Area" localSheetId="4">电气安全!$A$1:$J$20</definedName>
    <definedName name="_xlnm.Print_Area" localSheetId="5">防护设施!$A$1:$J$18</definedName>
    <definedName name="_xlnm.Print_Area" localSheetId="1">'封面页---安全设施'!$A$1:$I$46</definedName>
    <definedName name="_xlnm.Print_Area" localSheetId="6">'封面页---生产设备'!$A$1:$I$46</definedName>
    <definedName name="_xlnm.Print_Area" localSheetId="8">机械设备!$A$1:$V$10</definedName>
    <definedName name="_xlnm.Print_Area" localSheetId="9">特种设备!$A$1:$AB$10</definedName>
    <definedName name="_xlnm.Print_Area" localSheetId="3">消防设施!$A$1:$J$10</definedName>
    <definedName name="_xlnm.Print_Area" localSheetId="10">仪器仪表!$A$1:$O$19</definedName>
    <definedName name="_xlnm.Print_Titles" localSheetId="4">电气安全!$A:$C,电气安全!$1:$3</definedName>
    <definedName name="_xlnm.Print_Titles" localSheetId="5">防护设施!$A:$C,防护设施!$1:$3</definedName>
    <definedName name="_xlnm.Print_Titles" localSheetId="8">机械设备!$A:$C,机械设备!$1:$3</definedName>
    <definedName name="_xlnm.Print_Titles" localSheetId="9">特种设备!$A:$C,特种设备!$1:$3</definedName>
    <definedName name="_xlnm.Print_Titles" localSheetId="3">消防设施!$A:$C,消防设施!$1:$3</definedName>
    <definedName name="_xlnm.Print_Titles" localSheetId="10">仪器仪表!$A:$C,仪器仪表!$1:$3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4" l="1"/>
  <c r="P17" i="14"/>
  <c r="P16" i="14"/>
  <c r="P15" i="14"/>
  <c r="P14" i="14"/>
  <c r="O18" i="17"/>
  <c r="O16" i="17"/>
  <c r="O15" i="17"/>
  <c r="O14" i="17"/>
  <c r="O13" i="17"/>
  <c r="O7" i="17"/>
  <c r="O6" i="17"/>
  <c r="O5" i="17"/>
  <c r="O4" i="17"/>
  <c r="AB9" i="16"/>
  <c r="AB7" i="16"/>
  <c r="AB6" i="16"/>
  <c r="AB5" i="16"/>
  <c r="AB4" i="16"/>
  <c r="V9" i="14"/>
  <c r="V7" i="14"/>
  <c r="V6" i="14"/>
  <c r="V5" i="14"/>
  <c r="V4" i="14"/>
  <c r="D23" i="52"/>
  <c r="E21" i="52"/>
  <c r="E9" i="52"/>
  <c r="E8" i="52"/>
  <c r="E7" i="52"/>
  <c r="J17" i="50"/>
  <c r="J15" i="50"/>
  <c r="J14" i="50"/>
  <c r="J13" i="50"/>
  <c r="J12" i="50"/>
  <c r="J7" i="50"/>
  <c r="J6" i="50"/>
  <c r="J5" i="50"/>
  <c r="J4" i="50"/>
  <c r="J19" i="44"/>
  <c r="J17" i="44"/>
  <c r="J16" i="44"/>
  <c r="J15" i="44"/>
  <c r="J14" i="44"/>
  <c r="J13" i="44"/>
  <c r="J8" i="44"/>
  <c r="J6" i="44"/>
  <c r="J5" i="44"/>
  <c r="J4" i="44"/>
  <c r="J9" i="1"/>
  <c r="J7" i="1"/>
  <c r="J6" i="1"/>
  <c r="J5" i="1"/>
  <c r="J4" i="1"/>
  <c r="D23" i="51"/>
  <c r="E21" i="51"/>
  <c r="E9" i="51"/>
  <c r="E8" i="51"/>
  <c r="E7" i="51"/>
  <c r="E19" i="49"/>
  <c r="F18" i="49"/>
  <c r="E18" i="49"/>
  <c r="D18" i="49"/>
  <c r="C18" i="49"/>
  <c r="F17" i="49"/>
  <c r="E17" i="49"/>
  <c r="D17" i="49"/>
  <c r="C17" i="49"/>
  <c r="F16" i="49"/>
  <c r="E16" i="49"/>
  <c r="C16" i="49"/>
  <c r="D16" i="49" s="1"/>
  <c r="E15" i="49"/>
  <c r="E14" i="49"/>
  <c r="D14" i="49"/>
  <c r="C14" i="49"/>
  <c r="F13" i="49"/>
  <c r="E13" i="49"/>
  <c r="D13" i="49"/>
  <c r="C13" i="49"/>
  <c r="F12" i="49"/>
  <c r="E12" i="49"/>
  <c r="D12" i="49"/>
  <c r="C12" i="49"/>
  <c r="F11" i="49"/>
  <c r="E11" i="49"/>
  <c r="D11" i="49"/>
  <c r="C11" i="49"/>
  <c r="E10" i="49"/>
</calcChain>
</file>

<file path=xl/sharedStrings.xml><?xml version="1.0" encoding="utf-8"?>
<sst xmlns="http://schemas.openxmlformats.org/spreadsheetml/2006/main" count="883" uniqueCount="120">
  <si>
    <t>检查结果计算</t>
  </si>
  <si>
    <r>
      <rPr>
        <b/>
        <sz val="11"/>
        <color theme="1"/>
        <rFont val="宋体"/>
        <family val="3"/>
        <charset val="134"/>
      </rPr>
      <t>序号</t>
    </r>
    <r>
      <rPr>
        <b/>
        <sz val="11"/>
        <color theme="1"/>
        <rFont val="Times New Roman"/>
        <family val="1"/>
      </rPr>
      <t xml:space="preserve"> </t>
    </r>
  </si>
  <si>
    <t>设施</t>
  </si>
  <si>
    <t>总量</t>
  </si>
  <si>
    <t>故障数量</t>
  </si>
  <si>
    <t>合格率</t>
  </si>
  <si>
    <t>分部名称：安全设施</t>
  </si>
  <si>
    <t>消防设施</t>
  </si>
  <si>
    <t>电气安全</t>
  </si>
  <si>
    <t>防护设施</t>
  </si>
  <si>
    <t>合计</t>
  </si>
  <si>
    <t>分项名称：生产设备</t>
  </si>
  <si>
    <t>机械设备</t>
  </si>
  <si>
    <t>特种设备</t>
  </si>
  <si>
    <t>仪器仪表</t>
  </si>
  <si>
    <t>（一）安全设施</t>
  </si>
  <si>
    <t>检查公司</t>
  </si>
  <si>
    <r>
      <rPr>
        <b/>
        <sz val="18"/>
        <rFont val="仿宋_GB2312"/>
        <charset val="134"/>
      </rPr>
      <t>分部工程质量检验评定表</t>
    </r>
  </si>
  <si>
    <t>分部工程名称：安全设施</t>
  </si>
  <si>
    <t>实施单位：</t>
  </si>
  <si>
    <t>所属单位：</t>
  </si>
  <si>
    <t>监督单位：</t>
  </si>
  <si>
    <r>
      <rPr>
        <sz val="10"/>
        <rFont val="仿宋_GB2312"/>
        <charset val="134"/>
      </rPr>
      <t>分</t>
    </r>
    <r>
      <rPr>
        <sz val="10"/>
        <rFont val="Times New Roman"/>
        <family val="1"/>
      </rPr>
      <t xml:space="preserve">     </t>
    </r>
    <r>
      <rPr>
        <sz val="10"/>
        <rFont val="仿宋_GB2312"/>
        <charset val="134"/>
      </rPr>
      <t>项</t>
    </r>
    <r>
      <rPr>
        <sz val="10"/>
        <rFont val="Times New Roman"/>
        <family val="1"/>
      </rPr>
      <t xml:space="preserve">    </t>
    </r>
    <r>
      <rPr>
        <sz val="10"/>
        <rFont val="仿宋_GB2312"/>
        <charset val="134"/>
      </rPr>
      <t>工</t>
    </r>
    <r>
      <rPr>
        <sz val="10"/>
        <rFont val="Times New Roman"/>
        <family val="1"/>
      </rPr>
      <t xml:space="preserve">     </t>
    </r>
    <r>
      <rPr>
        <sz val="10"/>
        <rFont val="仿宋_GB2312"/>
        <charset val="134"/>
      </rPr>
      <t>程</t>
    </r>
  </si>
  <si>
    <r>
      <rPr>
        <sz val="10"/>
        <rFont val="仿宋_GB2312"/>
        <charset val="134"/>
      </rPr>
      <t>备</t>
    </r>
    <r>
      <rPr>
        <sz val="10"/>
        <rFont val="Times New Roman"/>
        <family val="1"/>
      </rPr>
      <t xml:space="preserve">  </t>
    </r>
    <r>
      <rPr>
        <sz val="10"/>
        <rFont val="仿宋_GB2312"/>
        <charset val="134"/>
      </rPr>
      <t>注</t>
    </r>
  </si>
  <si>
    <t>分项工程编号</t>
  </si>
  <si>
    <r>
      <rPr>
        <sz val="10"/>
        <rFont val="仿宋_GB2312"/>
        <charset val="134"/>
      </rPr>
      <t>分项工程工</t>
    </r>
    <r>
      <rPr>
        <sz val="10"/>
        <rFont val="仿宋_GB2312"/>
        <charset val="134"/>
      </rPr>
      <t>程</t>
    </r>
    <r>
      <rPr>
        <sz val="10"/>
        <rFont val="仿宋_GB2312"/>
        <charset val="134"/>
      </rPr>
      <t>名</t>
    </r>
    <r>
      <rPr>
        <sz val="10"/>
        <rFont val="仿宋_GB2312"/>
        <charset val="134"/>
      </rPr>
      <t>称</t>
    </r>
  </si>
  <si>
    <t>检查项目数</t>
  </si>
  <si>
    <t>分部工程实测得分</t>
  </si>
  <si>
    <r>
      <rPr>
        <sz val="10"/>
        <rFont val="仿宋_GB2312"/>
        <charset val="134"/>
      </rPr>
      <t>外观缺陷扣分</t>
    </r>
  </si>
  <si>
    <r>
      <rPr>
        <sz val="10"/>
        <rFont val="仿宋_GB2312"/>
        <charset val="134"/>
      </rPr>
      <t>资料扣分</t>
    </r>
  </si>
  <si>
    <r>
      <rPr>
        <sz val="10"/>
        <rFont val="仿宋_GB2312"/>
        <charset val="134"/>
      </rPr>
      <t>分部工程评分</t>
    </r>
  </si>
  <si>
    <r>
      <rPr>
        <sz val="10"/>
        <rFont val="仿宋_GB2312"/>
        <charset val="134"/>
      </rPr>
      <t>质量等级</t>
    </r>
  </si>
  <si>
    <r>
      <rPr>
        <sz val="10"/>
        <rFont val="仿宋_GB2312"/>
        <charset val="134"/>
      </rPr>
      <t>合格</t>
    </r>
  </si>
  <si>
    <t>设施名称：消防设施</t>
  </si>
  <si>
    <t>序号</t>
  </si>
  <si>
    <t>检查项目</t>
  </si>
  <si>
    <t>技术要求</t>
  </si>
  <si>
    <t>测试点单项结果</t>
  </si>
  <si>
    <t>汇总列</t>
  </si>
  <si>
    <t>地点1</t>
  </si>
  <si>
    <t>地点2</t>
  </si>
  <si>
    <t>/</t>
  </si>
  <si>
    <t>安全设施</t>
  </si>
  <si>
    <t>灭火器配置是否符合要求</t>
  </si>
  <si>
    <t>符合</t>
  </si>
  <si>
    <t>消火栓是否完好有效</t>
  </si>
  <si>
    <t>应急照明</t>
  </si>
  <si>
    <t>应急照明是否正常工作</t>
  </si>
  <si>
    <t>疏散标志</t>
  </si>
  <si>
    <t>疏散指示标志是否清晰可见</t>
  </si>
  <si>
    <t>是否故障</t>
  </si>
  <si>
    <t>否</t>
  </si>
  <si>
    <t>备注</t>
  </si>
  <si>
    <t>设施名称：电气安全</t>
  </si>
  <si>
    <t>配电箱</t>
  </si>
  <si>
    <t>配电箱是否规范安装</t>
  </si>
  <si>
    <t>线路</t>
  </si>
  <si>
    <t>线路敷设是否符合安全要求</t>
  </si>
  <si>
    <t>接地保护</t>
  </si>
  <si>
    <t>接地保护是否可靠</t>
  </si>
  <si>
    <t>接地电阻＜4Ω</t>
  </si>
  <si>
    <t>漏电保护器是否正常工作</t>
  </si>
  <si>
    <t>设施名称：防护设施</t>
  </si>
  <si>
    <t>警示</t>
  </si>
  <si>
    <t>安全警示标志是否齐全</t>
  </si>
  <si>
    <t>防护栏杆是否牢固</t>
  </si>
  <si>
    <t>防护</t>
  </si>
  <si>
    <t>安全网是否完好</t>
  </si>
  <si>
    <t>用品</t>
  </si>
  <si>
    <t>防护用品是否配备齐全</t>
  </si>
  <si>
    <t>（二）生产设备</t>
  </si>
  <si>
    <t>分部工程名称：生产设备</t>
  </si>
  <si>
    <t>设施名称：机械设备</t>
  </si>
  <si>
    <t>设备1</t>
  </si>
  <si>
    <t>设备2</t>
  </si>
  <si>
    <t>设备3</t>
  </si>
  <si>
    <t>设备4</t>
  </si>
  <si>
    <t>设备5</t>
  </si>
  <si>
    <t>设备6</t>
  </si>
  <si>
    <t>设备7</t>
  </si>
  <si>
    <t>设备8</t>
  </si>
  <si>
    <t>设备9</t>
  </si>
  <si>
    <t>设备10</t>
  </si>
  <si>
    <t>设备11</t>
  </si>
  <si>
    <t>设备12</t>
  </si>
  <si>
    <t>设备13</t>
  </si>
  <si>
    <t>设备14</t>
  </si>
  <si>
    <t>设备15</t>
  </si>
  <si>
    <t>设备16</t>
  </si>
  <si>
    <t>设备17</t>
  </si>
  <si>
    <t>总体</t>
  </si>
  <si>
    <t>设备运行状态是否正常</t>
  </si>
  <si>
    <t>安全防护装置是否完好</t>
  </si>
  <si>
    <t>记录</t>
  </si>
  <si>
    <t>设备维护记录是否完整</t>
  </si>
  <si>
    <t>环境</t>
  </si>
  <si>
    <t>操作规程是否上墙</t>
  </si>
  <si>
    <t>设施名称：特种设备</t>
  </si>
  <si>
    <t>设备18</t>
  </si>
  <si>
    <t>设备19</t>
  </si>
  <si>
    <t>设备20</t>
  </si>
  <si>
    <t>设备21</t>
  </si>
  <si>
    <t>设备22</t>
  </si>
  <si>
    <t>设备23</t>
  </si>
  <si>
    <t>设备24</t>
  </si>
  <si>
    <t>锅炉</t>
  </si>
  <si>
    <t>锅炉安全检查是否合格</t>
  </si>
  <si>
    <t>压力容器定期检验是否合格</t>
  </si>
  <si>
    <t>起重设备</t>
  </si>
  <si>
    <t>起重设备安全装置是否可靠</t>
  </si>
  <si>
    <t>基础</t>
  </si>
  <si>
    <t>电梯安全运行是否正常</t>
  </si>
  <si>
    <t>设施名称：仪器仪表</t>
  </si>
  <si>
    <t>检测仪器是否按期检定</t>
  </si>
  <si>
    <t>仪表显示是否准确</t>
  </si>
  <si>
    <t>安全附件是否完好</t>
  </si>
  <si>
    <t>使用记录是否完整</t>
  </si>
  <si>
    <t>符合</t>
    <phoneticPr fontId="26" type="noConversion"/>
  </si>
  <si>
    <t>合格率</t>
    <phoneticPr fontId="26" type="noConversion"/>
  </si>
  <si>
    <r>
      <t>接地电阻＜5</t>
    </r>
    <r>
      <rPr>
        <sz val="9"/>
        <color theme="1"/>
        <rFont val="Calibri"/>
        <family val="2"/>
      </rPr>
      <t>Ω</t>
    </r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</si>
</sst>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0_);[Red]\(0\)"/>
    <numFmt numFmtId="179" formatCode="0.0"/>
    <numFmt numFmtId="180" formatCode="0.00_);[Red]\(0.00\)"/>
  </numFmts>
  <fonts count="29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family val="1"/>
    </font>
    <font>
      <b/>
      <sz val="9"/>
      <color theme="1"/>
      <name val="宋体"/>
      <charset val="134"/>
    </font>
    <font>
      <sz val="10.5"/>
      <color theme="1"/>
      <name val="宋体"/>
      <charset val="134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仿宋_GB2312"/>
      <charset val="134"/>
    </font>
    <font>
      <b/>
      <sz val="18"/>
      <name val="Times New Roman"/>
      <family val="1"/>
    </font>
    <font>
      <sz val="10"/>
      <name val="仿宋_GB2312"/>
      <charset val="134"/>
    </font>
    <font>
      <sz val="10"/>
      <color indexed="8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family val="1"/>
    </font>
    <font>
      <sz val="36"/>
      <color theme="1"/>
      <name val="宋体"/>
      <family val="3"/>
      <charset val="134"/>
    </font>
    <font>
      <sz val="10.5"/>
      <color theme="1"/>
      <name val="Times New Roman"/>
      <family val="1"/>
    </font>
    <font>
      <b/>
      <sz val="36"/>
      <color theme="1"/>
      <name val="Times New Roman"/>
      <family val="1"/>
    </font>
    <font>
      <sz val="11"/>
      <color theme="1"/>
      <name val="Times New Roman"/>
      <family val="1"/>
    </font>
    <font>
      <b/>
      <sz val="36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  <font>
      <b/>
      <sz val="18"/>
      <name val="仿宋_GB2312"/>
      <charset val="134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2" fillId="0" borderId="0"/>
    <xf numFmtId="0" fontId="25" fillId="0" borderId="0"/>
  </cellStyleXfs>
  <cellXfs count="9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6" fillId="0" borderId="0" xfId="2" applyFont="1"/>
    <xf numFmtId="0" fontId="7" fillId="0" borderId="0" xfId="2" applyFont="1" applyAlignment="1">
      <alignment horizontal="left" vertical="top"/>
    </xf>
    <xf numFmtId="0" fontId="7" fillId="0" borderId="0" xfId="2" applyFont="1"/>
    <xf numFmtId="0" fontId="0" fillId="0" borderId="0" xfId="0" applyAlignment="1"/>
    <xf numFmtId="0" fontId="8" fillId="0" borderId="0" xfId="2" applyFont="1"/>
    <xf numFmtId="0" fontId="11" fillId="0" borderId="0" xfId="2" applyFont="1" applyAlignment="1">
      <alignment horizontal="left" vertical="center"/>
    </xf>
    <xf numFmtId="0" fontId="7" fillId="0" borderId="5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1" fillId="0" borderId="1" xfId="2" applyFont="1" applyBorder="1" applyAlignment="1">
      <alignment vertical="center"/>
    </xf>
    <xf numFmtId="0" fontId="11" fillId="0" borderId="7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178" fontId="7" fillId="0" borderId="1" xfId="2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79" fontId="7" fillId="0" borderId="7" xfId="2" applyNumberFormat="1" applyFont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179" fontId="14" fillId="0" borderId="6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2" borderId="12" xfId="0" applyFont="1" applyFill="1" applyBorder="1" applyAlignment="1">
      <alignment vertical="center" wrapText="1"/>
    </xf>
    <xf numFmtId="0" fontId="20" fillId="2" borderId="13" xfId="0" applyFont="1" applyFill="1" applyBorder="1" applyAlignment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0" fontId="18" fillId="3" borderId="1" xfId="0" applyNumberFormat="1" applyFont="1" applyFill="1" applyBorder="1" applyAlignment="1">
      <alignment horizontal="center" vertical="center"/>
    </xf>
    <xf numFmtId="10" fontId="18" fillId="0" borderId="5" xfId="0" applyNumberFormat="1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10" fontId="20" fillId="4" borderId="15" xfId="0" applyNumberFormat="1" applyFont="1" applyFill="1" applyBorder="1" applyAlignment="1">
      <alignment horizontal="center" vertical="center"/>
    </xf>
    <xf numFmtId="180" fontId="18" fillId="3" borderId="1" xfId="0" applyNumberFormat="1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10" fillId="0" borderId="0" xfId="2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horizontal="left" vertical="center" wrapText="1"/>
    </xf>
    <xf numFmtId="0" fontId="11" fillId="0" borderId="0" xfId="2" applyFont="1" applyAlignment="1">
      <alignment horizontal="left" vertical="top" wrapText="1"/>
    </xf>
    <xf numFmtId="0" fontId="12" fillId="0" borderId="4" xfId="3" applyFont="1" applyBorder="1" applyAlignment="1">
      <alignment horizontal="left" vertical="top" wrapText="1"/>
    </xf>
    <xf numFmtId="0" fontId="7" fillId="0" borderId="5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9" fontId="7" fillId="0" borderId="1" xfId="1" applyFont="1" applyFill="1" applyBorder="1" applyAlignment="1" applyProtection="1">
      <alignment horizontal="center" vertical="center"/>
    </xf>
    <xf numFmtId="9" fontId="7" fillId="0" borderId="5" xfId="1" applyFont="1" applyFill="1" applyBorder="1" applyAlignment="1" applyProtection="1">
      <alignment horizontal="center" vertical="center"/>
    </xf>
    <xf numFmtId="9" fontId="7" fillId="0" borderId="6" xfId="1" applyFont="1" applyFill="1" applyBorder="1" applyAlignment="1" applyProtection="1">
      <alignment horizontal="center" vertical="center"/>
    </xf>
    <xf numFmtId="9" fontId="7" fillId="0" borderId="7" xfId="1" applyFont="1" applyFill="1" applyBorder="1" applyAlignment="1" applyProtection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179" fontId="7" fillId="0" borderId="5" xfId="2" applyNumberFormat="1" applyFont="1" applyBorder="1" applyAlignment="1">
      <alignment horizontal="center" vertical="center"/>
    </xf>
    <xf numFmtId="179" fontId="7" fillId="0" borderId="6" xfId="2" applyNumberFormat="1" applyFont="1" applyBorder="1" applyAlignment="1">
      <alignment horizontal="center" vertical="center"/>
    </xf>
    <xf numFmtId="179" fontId="7" fillId="0" borderId="7" xfId="2" applyNumberFormat="1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</cellXfs>
  <cellStyles count="4">
    <cellStyle name="百分比" xfId="1" builtinId="5"/>
    <cellStyle name="常规" xfId="0" builtinId="0"/>
    <cellStyle name="常规 2" xfId="3" xr:uid="{00000000-0005-0000-0000-000032000000}"/>
    <cellStyle name="常规 2 3 2" xfId="2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7"/>
  <dimension ref="A1:H19"/>
  <sheetViews>
    <sheetView zoomScale="85" zoomScaleNormal="85" workbookViewId="0">
      <pane ySplit="9" topLeftCell="A10" activePane="bottomLeft" state="frozen"/>
      <selection pane="bottomLeft" sqref="A1:XFD1048576"/>
    </sheetView>
  </sheetViews>
  <sheetFormatPr defaultColWidth="9" defaultRowHeight="15" customHeight="1"/>
  <cols>
    <col min="1" max="1" width="10.625" style="30" customWidth="1"/>
    <col min="2" max="2" width="35.625" style="30" customWidth="1"/>
    <col min="3" max="4" width="10.625" style="30" customWidth="1"/>
    <col min="5" max="6" width="14.375" style="30" customWidth="1"/>
    <col min="7" max="8" width="10.625" style="30" customWidth="1"/>
    <col min="9" max="16384" width="9" style="30"/>
  </cols>
  <sheetData>
    <row r="1" spans="1:8" s="29" customFormat="1" ht="9.9499999999999993" customHeight="1">
      <c r="A1" s="51" t="s">
        <v>0</v>
      </c>
      <c r="B1" s="51"/>
      <c r="C1" s="51"/>
      <c r="D1" s="51"/>
      <c r="E1" s="51"/>
      <c r="F1" s="51"/>
    </row>
    <row r="2" spans="1:8" s="29" customFormat="1" ht="9.9499999999999993" customHeight="1">
      <c r="A2" s="51"/>
      <c r="B2" s="51"/>
      <c r="C2" s="51"/>
      <c r="D2" s="51"/>
      <c r="E2" s="51"/>
      <c r="F2" s="51"/>
    </row>
    <row r="3" spans="1:8" s="29" customFormat="1" ht="9.9499999999999993" customHeight="1">
      <c r="A3" s="51"/>
      <c r="B3" s="51"/>
      <c r="C3" s="51"/>
      <c r="D3" s="51"/>
      <c r="E3" s="51"/>
      <c r="F3" s="51"/>
    </row>
    <row r="4" spans="1:8" s="29" customFormat="1" ht="9.9499999999999993" customHeight="1">
      <c r="A4" s="51"/>
      <c r="B4" s="51"/>
      <c r="C4" s="51"/>
      <c r="D4" s="51"/>
      <c r="E4" s="51"/>
      <c r="F4" s="51"/>
    </row>
    <row r="5" spans="1:8" s="29" customFormat="1" ht="9.9499999999999993" customHeight="1">
      <c r="A5" s="51"/>
      <c r="B5" s="51"/>
      <c r="C5" s="51"/>
      <c r="D5" s="51"/>
      <c r="E5" s="51"/>
      <c r="F5" s="51"/>
    </row>
    <row r="6" spans="1:8" s="29" customFormat="1" ht="9.9499999999999993" customHeight="1">
      <c r="A6" s="51"/>
      <c r="B6" s="51"/>
      <c r="C6" s="51"/>
      <c r="D6" s="51"/>
      <c r="E6" s="51"/>
      <c r="F6" s="51"/>
    </row>
    <row r="7" spans="1:8" s="29" customFormat="1" ht="9.9499999999999993" customHeight="1">
      <c r="A7" s="51"/>
      <c r="B7" s="51"/>
      <c r="C7" s="51"/>
      <c r="D7" s="51"/>
      <c r="E7" s="51"/>
      <c r="F7" s="51"/>
    </row>
    <row r="8" spans="1:8" s="29" customFormat="1" ht="9.9499999999999993" customHeight="1">
      <c r="A8" s="51"/>
      <c r="B8" s="51"/>
      <c r="C8" s="51"/>
      <c r="D8" s="51"/>
      <c r="E8" s="51"/>
      <c r="F8" s="51"/>
    </row>
    <row r="9" spans="1:8" ht="20.100000000000001" customHeight="1">
      <c r="A9" s="31" t="s">
        <v>1</v>
      </c>
      <c r="B9" s="31" t="s">
        <v>2</v>
      </c>
      <c r="C9" s="31" t="s">
        <v>3</v>
      </c>
      <c r="D9" s="31" t="s">
        <v>4</v>
      </c>
      <c r="E9" s="31" t="s">
        <v>5</v>
      </c>
      <c r="F9" s="31"/>
      <c r="G9" s="32"/>
      <c r="H9" s="32"/>
    </row>
    <row r="10" spans="1:8" ht="20.100000000000001" customHeight="1">
      <c r="A10" s="43" t="s">
        <v>6</v>
      </c>
      <c r="B10" s="44"/>
      <c r="C10" s="44"/>
      <c r="D10" s="45"/>
      <c r="E10" s="33">
        <f>'分部工程-安全设施'!D23</f>
        <v>95.5</v>
      </c>
      <c r="F10" s="34"/>
    </row>
    <row r="11" spans="1:8" ht="20.100000000000001" customHeight="1">
      <c r="A11" s="35">
        <v>1</v>
      </c>
      <c r="B11" s="36" t="s">
        <v>7</v>
      </c>
      <c r="C11" s="37">
        <f>COUNTA(消防设施!D3:I3)-COUNTIF(消防设施!D3:I3,"/")</f>
        <v>2</v>
      </c>
      <c r="D11" s="37">
        <f>C11*(1-E11)</f>
        <v>0</v>
      </c>
      <c r="E11" s="38">
        <f>'分部工程-安全设施'!E7</f>
        <v>1</v>
      </c>
      <c r="F11" s="39" t="str">
        <f>IF(E11="/","/",IF(E11&gt;=98%,"0",IF(E11&gt;=93%,"1",IF(E11&gt;=85%,"2","3"))))</f>
        <v>0</v>
      </c>
    </row>
    <row r="12" spans="1:8" ht="20.100000000000001" customHeight="1">
      <c r="A12" s="35">
        <v>2</v>
      </c>
      <c r="B12" s="36" t="s">
        <v>8</v>
      </c>
      <c r="C12" s="37">
        <f>COUNTA(电气安全!D3:I3)-COUNTIF(电气安全!D3:I3,"/")</f>
        <v>1</v>
      </c>
      <c r="D12" s="37">
        <f>C12*(1-E12)</f>
        <v>0</v>
      </c>
      <c r="E12" s="38">
        <f>'分部工程-安全设施'!E8</f>
        <v>1</v>
      </c>
      <c r="F12" s="39" t="str">
        <f>IF(E12="/","/",IF(E12&gt;=98%,"0",IF(E12&gt;=93%,"1",IF(E12&gt;=85%,"2","3"))))</f>
        <v>0</v>
      </c>
    </row>
    <row r="13" spans="1:8" ht="20.100000000000001" customHeight="1">
      <c r="A13" s="35">
        <v>3</v>
      </c>
      <c r="B13" s="36" t="s">
        <v>9</v>
      </c>
      <c r="C13" s="37">
        <f>COUNTA(防护设施!D3:I3)-COUNTIF(防护设施!D3:I3,"/")</f>
        <v>1</v>
      </c>
      <c r="D13" s="37">
        <f>C13*(1-E13)</f>
        <v>0</v>
      </c>
      <c r="E13" s="38">
        <f>'分部工程-安全设施'!E9</f>
        <v>1</v>
      </c>
      <c r="F13" s="39" t="str">
        <f>IF(E13="/","/",IF(E13&gt;=98%,"0",IF(E13&gt;=93%,"1",IF(E13&gt;=85%,"2","3"))))</f>
        <v>0</v>
      </c>
    </row>
    <row r="14" spans="1:8" ht="20.100000000000001" customHeight="1">
      <c r="A14" s="46" t="s">
        <v>10</v>
      </c>
      <c r="B14" s="47"/>
      <c r="C14" s="40">
        <f>SUM(C11:C13)</f>
        <v>4</v>
      </c>
      <c r="D14" s="40">
        <f>SUM(D11:D13)</f>
        <v>0</v>
      </c>
      <c r="E14" s="38">
        <f>IF(OR(C14=0,C14="/"),"/",1-D14/C14)</f>
        <v>1</v>
      </c>
      <c r="F14" s="41"/>
    </row>
    <row r="15" spans="1:8" ht="20.100000000000001" customHeight="1">
      <c r="A15" s="43" t="s">
        <v>11</v>
      </c>
      <c r="B15" s="44"/>
      <c r="C15" s="44"/>
      <c r="D15" s="45"/>
      <c r="E15" s="33">
        <f>'分部工程-生产设备'!D23</f>
        <v>100</v>
      </c>
      <c r="F15" s="34"/>
    </row>
    <row r="16" spans="1:8" ht="20.100000000000001" customHeight="1">
      <c r="A16" s="35">
        <v>1</v>
      </c>
      <c r="B16" s="36" t="s">
        <v>12</v>
      </c>
      <c r="C16" s="37">
        <f>COUNTA(机械设备!D3:U3)-COUNTIF(机械设备!D3:U3,"/")</f>
        <v>17</v>
      </c>
      <c r="D16" s="37">
        <f t="shared" ref="D16:D18" si="0">C16*(1-E16)</f>
        <v>0</v>
      </c>
      <c r="E16" s="38">
        <f>'分部工程-生产设备'!E7</f>
        <v>1</v>
      </c>
      <c r="F16" s="39" t="str">
        <f t="shared" ref="F16:F18" si="1">IF(E16="/","/",IF(E16&gt;=95%,"0",IF(E16&gt;=86%,"1",IF(E16&gt;=74%,"2","3"))))</f>
        <v>0</v>
      </c>
    </row>
    <row r="17" spans="1:6" ht="20.100000000000001" customHeight="1">
      <c r="A17" s="35">
        <v>2</v>
      </c>
      <c r="B17" s="36" t="s">
        <v>13</v>
      </c>
      <c r="C17" s="37">
        <f>COUNTA(特种设备!D3:AA3)-COUNTIF(特种设备!D3:AA3,"/")</f>
        <v>24</v>
      </c>
      <c r="D17" s="37">
        <f t="shared" si="0"/>
        <v>0</v>
      </c>
      <c r="E17" s="38">
        <f>'分部工程-生产设备'!E8</f>
        <v>1</v>
      </c>
      <c r="F17" s="39" t="str">
        <f t="shared" si="1"/>
        <v>0</v>
      </c>
    </row>
    <row r="18" spans="1:6" ht="20.100000000000001" customHeight="1">
      <c r="A18" s="35">
        <v>3</v>
      </c>
      <c r="B18" s="36" t="s">
        <v>14</v>
      </c>
      <c r="C18" s="37">
        <f>COUNTA(仪器仪表!D3:N3)+COUNTA(仪器仪表!D12:N12)-COUNTIF(仪器仪表!D3:N3,"/")-COUNTIF(仪器仪表!D12:N12,"/")</f>
        <v>22</v>
      </c>
      <c r="D18" s="37">
        <f t="shared" si="0"/>
        <v>0</v>
      </c>
      <c r="E18" s="38">
        <f>'分部工程-生产设备'!E9</f>
        <v>1</v>
      </c>
      <c r="F18" s="39" t="str">
        <f t="shared" si="1"/>
        <v>0</v>
      </c>
    </row>
    <row r="19" spans="1:6" ht="20.100000000000001" customHeight="1">
      <c r="A19" s="48" t="s">
        <v>10</v>
      </c>
      <c r="B19" s="49"/>
      <c r="C19" s="49"/>
      <c r="D19" s="50"/>
      <c r="E19" s="42">
        <f>(E10+E15)/2</f>
        <v>97.75</v>
      </c>
      <c r="F19" s="41"/>
    </row>
  </sheetData>
  <mergeCells count="5">
    <mergeCell ref="A10:D10"/>
    <mergeCell ref="A14:B14"/>
    <mergeCell ref="A15:D15"/>
    <mergeCell ref="A19:D19"/>
    <mergeCell ref="A1:F8"/>
  </mergeCells>
  <phoneticPr fontId="26" type="noConversion"/>
  <pageMargins left="0.75" right="0.75" top="1" bottom="1" header="0.5" footer="0.5"/>
  <pageSetup paperSize="9" scale="3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C20"/>
  <sheetViews>
    <sheetView view="pageBreakPreview" zoomScaleNormal="100" workbookViewId="0">
      <selection activeCell="C61" sqref="C61"/>
    </sheetView>
  </sheetViews>
  <sheetFormatPr defaultColWidth="9" defaultRowHeight="13.5"/>
  <sheetData>
    <row r="20" spans="3:3" ht="46.5">
      <c r="C20" s="27" t="s">
        <v>15</v>
      </c>
    </row>
  </sheetData>
  <phoneticPr fontId="26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H26"/>
  <sheetViews>
    <sheetView view="pageBreakPreview" zoomScaleNormal="85" workbookViewId="0">
      <selection activeCell="A6" sqref="A6:G6"/>
    </sheetView>
  </sheetViews>
  <sheetFormatPr defaultColWidth="9" defaultRowHeight="14.25" customHeight="1"/>
  <cols>
    <col min="1" max="1" width="11.625" style="11" customWidth="1"/>
    <col min="2" max="2" width="14.75" style="11" customWidth="1"/>
    <col min="3" max="3" width="7.25" style="11" customWidth="1"/>
    <col min="4" max="4" width="14.125" style="11" customWidth="1"/>
    <col min="5" max="6" width="8.25" style="11" customWidth="1"/>
    <col min="7" max="7" width="7.375" style="11" customWidth="1"/>
    <col min="8" max="8" width="11.875" style="11" customWidth="1"/>
    <col min="9" max="16384" width="9" style="11"/>
  </cols>
  <sheetData>
    <row r="1" spans="1:8" s="7" customFormat="1" ht="20.100000000000001" customHeight="1">
      <c r="A1" s="52" t="s">
        <v>16</v>
      </c>
      <c r="B1" s="53"/>
      <c r="C1" s="53"/>
      <c r="D1" s="53"/>
      <c r="E1" s="53"/>
      <c r="F1" s="53"/>
      <c r="G1" s="53"/>
      <c r="H1" s="53"/>
    </row>
    <row r="2" spans="1:8" s="7" customFormat="1" ht="30" customHeight="1">
      <c r="A2" s="54" t="s">
        <v>17</v>
      </c>
      <c r="B2" s="54"/>
      <c r="C2" s="54"/>
      <c r="D2" s="54"/>
      <c r="E2" s="54"/>
      <c r="F2" s="54"/>
      <c r="G2" s="54"/>
      <c r="H2" s="54"/>
    </row>
    <row r="3" spans="1:8" s="8" customFormat="1" ht="30" customHeight="1">
      <c r="A3" s="55" t="s">
        <v>18</v>
      </c>
      <c r="B3" s="55"/>
      <c r="C3" s="55"/>
      <c r="D3" s="12"/>
      <c r="E3" s="56" t="s">
        <v>19</v>
      </c>
      <c r="F3" s="56"/>
      <c r="G3" s="56"/>
      <c r="H3" s="56"/>
    </row>
    <row r="4" spans="1:8" s="8" customFormat="1" ht="30" customHeight="1">
      <c r="A4" s="57" t="s">
        <v>20</v>
      </c>
      <c r="B4" s="57"/>
      <c r="C4" s="57"/>
      <c r="D4" s="57"/>
      <c r="E4" s="58" t="s">
        <v>21</v>
      </c>
      <c r="F4" s="58"/>
      <c r="G4" s="58"/>
      <c r="H4" s="58"/>
    </row>
    <row r="5" spans="1:8" s="9" customFormat="1" ht="27.6" customHeight="1">
      <c r="A5" s="59" t="s">
        <v>22</v>
      </c>
      <c r="B5" s="60"/>
      <c r="C5" s="60"/>
      <c r="D5" s="60"/>
      <c r="E5" s="60"/>
      <c r="F5" s="60"/>
      <c r="G5" s="61"/>
      <c r="H5" s="65" t="s">
        <v>23</v>
      </c>
    </row>
    <row r="6" spans="1:8" s="9" customFormat="1" ht="30" customHeight="1">
      <c r="A6" s="16" t="s">
        <v>24</v>
      </c>
      <c r="B6" s="62" t="s">
        <v>25</v>
      </c>
      <c r="C6" s="63"/>
      <c r="D6" s="17" t="s">
        <v>26</v>
      </c>
      <c r="E6" s="64" t="s">
        <v>5</v>
      </c>
      <c r="F6" s="65"/>
      <c r="G6" s="65"/>
      <c r="H6" s="65"/>
    </row>
    <row r="7" spans="1:8" s="9" customFormat="1" ht="30" customHeight="1">
      <c r="A7" s="18">
        <v>1</v>
      </c>
      <c r="B7" s="66" t="s">
        <v>7</v>
      </c>
      <c r="C7" s="67"/>
      <c r="D7" s="20">
        <v>3</v>
      </c>
      <c r="E7" s="68">
        <f>消防设施!J9</f>
        <v>1</v>
      </c>
      <c r="F7" s="68"/>
      <c r="G7" s="68"/>
      <c r="H7" s="18"/>
    </row>
    <row r="8" spans="1:8" s="9" customFormat="1" ht="30" customHeight="1">
      <c r="A8" s="18">
        <v>2</v>
      </c>
      <c r="B8" s="66" t="s">
        <v>8</v>
      </c>
      <c r="C8" s="67"/>
      <c r="D8" s="21">
        <v>3</v>
      </c>
      <c r="E8" s="69">
        <f>电气安全!J19</f>
        <v>1</v>
      </c>
      <c r="F8" s="70"/>
      <c r="G8" s="71"/>
      <c r="H8" s="18"/>
    </row>
    <row r="9" spans="1:8" s="9" customFormat="1" ht="30" customHeight="1">
      <c r="A9" s="18">
        <v>3</v>
      </c>
      <c r="B9" s="66" t="s">
        <v>9</v>
      </c>
      <c r="C9" s="67"/>
      <c r="D9" s="22">
        <v>3</v>
      </c>
      <c r="E9" s="69">
        <f>防护设施!J17</f>
        <v>1</v>
      </c>
      <c r="F9" s="70"/>
      <c r="G9" s="71"/>
      <c r="H9" s="18"/>
    </row>
    <row r="10" spans="1:8" s="9" customFormat="1" ht="30" customHeight="1">
      <c r="A10" s="18"/>
      <c r="B10" s="72"/>
      <c r="C10" s="73"/>
      <c r="D10" s="21"/>
      <c r="E10" s="59"/>
      <c r="F10" s="60"/>
      <c r="G10" s="61"/>
      <c r="H10" s="18"/>
    </row>
    <row r="11" spans="1:8" s="9" customFormat="1" ht="30" customHeight="1">
      <c r="A11" s="18"/>
      <c r="B11" s="74"/>
      <c r="C11" s="67"/>
      <c r="D11" s="21"/>
      <c r="E11" s="59"/>
      <c r="F11" s="60"/>
      <c r="G11" s="61"/>
      <c r="H11" s="18"/>
    </row>
    <row r="12" spans="1:8" s="9" customFormat="1" ht="30" customHeight="1">
      <c r="A12" s="18"/>
      <c r="B12" s="74"/>
      <c r="C12" s="67"/>
      <c r="D12" s="21"/>
      <c r="E12" s="59"/>
      <c r="F12" s="60"/>
      <c r="G12" s="61"/>
      <c r="H12" s="18"/>
    </row>
    <row r="13" spans="1:8" s="9" customFormat="1" ht="30" customHeight="1">
      <c r="A13" s="18"/>
      <c r="B13" s="74"/>
      <c r="C13" s="67"/>
      <c r="D13" s="21"/>
      <c r="E13" s="59"/>
      <c r="F13" s="60"/>
      <c r="G13" s="61"/>
      <c r="H13" s="18"/>
    </row>
    <row r="14" spans="1:8" s="9" customFormat="1" ht="30" customHeight="1">
      <c r="A14" s="18"/>
      <c r="B14" s="74"/>
      <c r="C14" s="67"/>
      <c r="D14" s="21"/>
      <c r="E14" s="59"/>
      <c r="F14" s="60"/>
      <c r="G14" s="61"/>
      <c r="H14" s="18"/>
    </row>
    <row r="15" spans="1:8" s="9" customFormat="1" ht="30" customHeight="1">
      <c r="A15" s="18"/>
      <c r="B15" s="23"/>
      <c r="C15" s="19"/>
      <c r="D15" s="21"/>
      <c r="E15" s="13"/>
      <c r="F15" s="14"/>
      <c r="G15" s="15"/>
      <c r="H15" s="18"/>
    </row>
    <row r="16" spans="1:8" s="9" customFormat="1" ht="30" customHeight="1">
      <c r="A16" s="18"/>
      <c r="B16" s="23"/>
      <c r="C16" s="19"/>
      <c r="D16" s="21"/>
      <c r="E16" s="13"/>
      <c r="F16" s="14"/>
      <c r="G16" s="15"/>
      <c r="H16" s="18"/>
    </row>
    <row r="17" spans="1:8" s="9" customFormat="1" ht="30" customHeight="1">
      <c r="A17" s="18"/>
      <c r="B17" s="74"/>
      <c r="C17" s="67"/>
      <c r="D17" s="21"/>
      <c r="E17" s="59"/>
      <c r="F17" s="60"/>
      <c r="G17" s="61"/>
      <c r="H17" s="18"/>
    </row>
    <row r="18" spans="1:8" s="9" customFormat="1" ht="30" customHeight="1">
      <c r="A18" s="18"/>
      <c r="B18" s="23"/>
      <c r="C18" s="19"/>
      <c r="D18" s="21"/>
      <c r="E18" s="13"/>
      <c r="F18" s="14"/>
      <c r="G18" s="15"/>
      <c r="H18" s="18"/>
    </row>
    <row r="19" spans="1:8" s="9" customFormat="1" ht="30" customHeight="1">
      <c r="A19" s="18"/>
      <c r="B19" s="74"/>
      <c r="C19" s="67"/>
      <c r="D19" s="21"/>
      <c r="E19" s="59"/>
      <c r="F19" s="60"/>
      <c r="G19" s="61"/>
      <c r="H19" s="18"/>
    </row>
    <row r="20" spans="1:8" s="9" customFormat="1" ht="30" customHeight="1">
      <c r="A20" s="18"/>
      <c r="B20" s="74"/>
      <c r="C20" s="67"/>
      <c r="D20" s="21"/>
      <c r="E20" s="59"/>
      <c r="F20" s="60"/>
      <c r="G20" s="61"/>
      <c r="H20" s="18"/>
    </row>
    <row r="21" spans="1:8" s="9" customFormat="1" ht="30" customHeight="1">
      <c r="A21" s="75" t="s">
        <v>27</v>
      </c>
      <c r="B21" s="76"/>
      <c r="C21" s="76"/>
      <c r="D21" s="77"/>
      <c r="E21" s="78">
        <f>AVERAGE(E7:G9)*100</f>
        <v>100</v>
      </c>
      <c r="F21" s="79"/>
      <c r="G21" s="80"/>
      <c r="H21" s="18"/>
    </row>
    <row r="22" spans="1:8" s="9" customFormat="1" ht="27.75" customHeight="1">
      <c r="A22" s="81" t="s">
        <v>28</v>
      </c>
      <c r="B22" s="76"/>
      <c r="C22" s="77"/>
      <c r="D22" s="25">
        <v>2</v>
      </c>
      <c r="E22" s="59" t="s">
        <v>29</v>
      </c>
      <c r="F22" s="60"/>
      <c r="G22" s="61"/>
      <c r="H22" s="24">
        <v>2.5</v>
      </c>
    </row>
    <row r="23" spans="1:8" s="9" customFormat="1" ht="27.75" customHeight="1">
      <c r="A23" s="81" t="s">
        <v>30</v>
      </c>
      <c r="B23" s="76"/>
      <c r="C23" s="77"/>
      <c r="D23" s="26">
        <f>E21-D22-H22</f>
        <v>95.5</v>
      </c>
      <c r="E23" s="65" t="s">
        <v>31</v>
      </c>
      <c r="F23" s="65"/>
      <c r="G23" s="65"/>
      <c r="H23" s="15" t="s">
        <v>32</v>
      </c>
    </row>
    <row r="24" spans="1:8" s="10" customFormat="1" ht="27.6" customHeight="1"/>
    <row r="25" spans="1:8" s="10" customFormat="1" ht="27.6" customHeight="1"/>
    <row r="26" spans="1:8" s="10" customFormat="1" ht="27.6" customHeight="1"/>
  </sheetData>
  <mergeCells count="38">
    <mergeCell ref="A23:C23"/>
    <mergeCell ref="E23:G23"/>
    <mergeCell ref="H5:H6"/>
    <mergeCell ref="B20:C20"/>
    <mergeCell ref="E20:G20"/>
    <mergeCell ref="A21:D21"/>
    <mergeCell ref="E21:G21"/>
    <mergeCell ref="A22:C22"/>
    <mergeCell ref="E22:G22"/>
    <mergeCell ref="B14:C14"/>
    <mergeCell ref="E14:G14"/>
    <mergeCell ref="B17:C17"/>
    <mergeCell ref="E17:G17"/>
    <mergeCell ref="B19:C19"/>
    <mergeCell ref="E19:G19"/>
    <mergeCell ref="B11:C11"/>
    <mergeCell ref="E11:G11"/>
    <mergeCell ref="B12:C12"/>
    <mergeCell ref="E12:G12"/>
    <mergeCell ref="B13:C13"/>
    <mergeCell ref="E13:G13"/>
    <mergeCell ref="B8:C8"/>
    <mergeCell ref="E8:G8"/>
    <mergeCell ref="B9:C9"/>
    <mergeCell ref="E9:G9"/>
    <mergeCell ref="B10:C10"/>
    <mergeCell ref="E10:G10"/>
    <mergeCell ref="A5:G5"/>
    <mergeCell ref="B6:C6"/>
    <mergeCell ref="E6:G6"/>
    <mergeCell ref="B7:C7"/>
    <mergeCell ref="E7:G7"/>
    <mergeCell ref="A1:H1"/>
    <mergeCell ref="A2:H2"/>
    <mergeCell ref="A3:C3"/>
    <mergeCell ref="E3:H3"/>
    <mergeCell ref="A4:D4"/>
    <mergeCell ref="E4:H4"/>
  </mergeCells>
  <phoneticPr fontId="26" type="noConversion"/>
  <printOptions horizontalCentered="1" verticalCentered="1"/>
  <pageMargins left="0.78740157480314998" right="0.78740157480314998" top="0.78740157480314998" bottom="0.78740157480314998" header="0.511811023622047" footer="0.511811023622047"/>
  <pageSetup paperSize="9" orientation="portrait" errors="blank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J10"/>
  <sheetViews>
    <sheetView view="pageBreakPreview" zoomScaleNormal="100" workbookViewId="0">
      <selection activeCell="C9" sqref="C9"/>
    </sheetView>
  </sheetViews>
  <sheetFormatPr defaultColWidth="9" defaultRowHeight="13.5"/>
  <cols>
    <col min="1" max="1" width="7.625" customWidth="1"/>
    <col min="3" max="3" width="10.375" customWidth="1"/>
    <col min="4" max="9" width="8.625" customWidth="1"/>
    <col min="10" max="10" width="10.625" customWidth="1"/>
  </cols>
  <sheetData>
    <row r="1" spans="1:10" ht="15" customHeight="1">
      <c r="A1" s="1" t="s">
        <v>33</v>
      </c>
      <c r="B1" s="1"/>
      <c r="C1" s="1"/>
      <c r="D1" s="3"/>
      <c r="E1" s="3"/>
      <c r="F1" s="3"/>
      <c r="G1" s="3"/>
      <c r="H1" s="3"/>
      <c r="I1" s="3"/>
      <c r="J1" s="3"/>
    </row>
    <row r="2" spans="1:10" ht="24.95" customHeight="1">
      <c r="A2" s="82" t="s">
        <v>34</v>
      </c>
      <c r="B2" s="82" t="s">
        <v>35</v>
      </c>
      <c r="C2" s="82" t="s">
        <v>36</v>
      </c>
      <c r="D2" s="82" t="s">
        <v>37</v>
      </c>
      <c r="E2" s="82"/>
      <c r="F2" s="82"/>
      <c r="G2" s="82"/>
      <c r="H2" s="82"/>
      <c r="I2" s="82"/>
      <c r="J2" s="82" t="s">
        <v>38</v>
      </c>
    </row>
    <row r="3" spans="1:10" ht="24.95" customHeight="1">
      <c r="A3" s="82"/>
      <c r="B3" s="82"/>
      <c r="C3" s="82"/>
      <c r="D3" s="4" t="s">
        <v>39</v>
      </c>
      <c r="E3" s="4" t="s">
        <v>40</v>
      </c>
      <c r="F3" s="4" t="s">
        <v>41</v>
      </c>
      <c r="G3" s="4" t="s">
        <v>41</v>
      </c>
      <c r="H3" s="4" t="s">
        <v>41</v>
      </c>
      <c r="I3" s="4" t="s">
        <v>41</v>
      </c>
      <c r="J3" s="82"/>
    </row>
    <row r="4" spans="1:10" ht="54.95" customHeight="1">
      <c r="A4" s="86">
        <v>1</v>
      </c>
      <c r="B4" s="83" t="s">
        <v>42</v>
      </c>
      <c r="C4" s="4" t="s">
        <v>43</v>
      </c>
      <c r="D4" s="4" t="s">
        <v>44</v>
      </c>
      <c r="E4" s="4" t="s">
        <v>44</v>
      </c>
      <c r="F4" s="4" t="s">
        <v>41</v>
      </c>
      <c r="G4" s="4" t="s">
        <v>41</v>
      </c>
      <c r="H4" s="4" t="s">
        <v>41</v>
      </c>
      <c r="I4" s="4" t="s">
        <v>41</v>
      </c>
      <c r="J4" s="5">
        <f>1-COUNTIF(D4:I4,"不符合")/(COUNTIF(D4:I4,"不符合")+COUNTIF(D4:I4,"符合"))</f>
        <v>1</v>
      </c>
    </row>
    <row r="5" spans="1:10" ht="54.95" customHeight="1">
      <c r="A5" s="86"/>
      <c r="B5" s="83"/>
      <c r="C5" s="4" t="s">
        <v>45</v>
      </c>
      <c r="D5" s="4" t="s">
        <v>44</v>
      </c>
      <c r="E5" s="4" t="s">
        <v>44</v>
      </c>
      <c r="F5" s="4" t="s">
        <v>41</v>
      </c>
      <c r="G5" s="4" t="s">
        <v>41</v>
      </c>
      <c r="H5" s="4" t="s">
        <v>41</v>
      </c>
      <c r="I5" s="4" t="s">
        <v>41</v>
      </c>
      <c r="J5" s="5">
        <f>1-COUNTIF(D5:I5,"不符合")/(COUNTIF(D5:I5,"不符合")+COUNTIF(D5:I5,"符合"))</f>
        <v>1</v>
      </c>
    </row>
    <row r="6" spans="1:10" ht="35.1" customHeight="1">
      <c r="A6" s="28">
        <v>2</v>
      </c>
      <c r="B6" s="4" t="s">
        <v>46</v>
      </c>
      <c r="C6" s="4" t="s">
        <v>47</v>
      </c>
      <c r="D6" s="4" t="s">
        <v>44</v>
      </c>
      <c r="E6" s="4" t="s">
        <v>44</v>
      </c>
      <c r="F6" s="4" t="s">
        <v>41</v>
      </c>
      <c r="G6" s="4" t="s">
        <v>41</v>
      </c>
      <c r="H6" s="4" t="s">
        <v>41</v>
      </c>
      <c r="I6" s="4" t="s">
        <v>41</v>
      </c>
      <c r="J6" s="5">
        <f>1-COUNTIF(D6:I6,"不符合")/(COUNTIF(D6:I6,"不符合")+COUNTIF(D6:I6,"符合"))</f>
        <v>1</v>
      </c>
    </row>
    <row r="7" spans="1:10" ht="35.1" customHeight="1">
      <c r="A7" s="28">
        <v>3</v>
      </c>
      <c r="B7" s="4" t="s">
        <v>48</v>
      </c>
      <c r="C7" s="4" t="s">
        <v>49</v>
      </c>
      <c r="D7" s="4" t="s">
        <v>44</v>
      </c>
      <c r="E7" s="4" t="s">
        <v>44</v>
      </c>
      <c r="F7" s="4" t="s">
        <v>41</v>
      </c>
      <c r="G7" s="4" t="s">
        <v>41</v>
      </c>
      <c r="H7" s="4" t="s">
        <v>41</v>
      </c>
      <c r="I7" s="4" t="s">
        <v>41</v>
      </c>
      <c r="J7" s="5">
        <f>1-COUNTIF(D7:I7,"不符合")/(COUNTIF(D7:I7,"不符合")+COUNTIF(D7:I7,"符合"))</f>
        <v>1</v>
      </c>
    </row>
    <row r="8" spans="1:10" ht="24.95" customHeight="1">
      <c r="A8" s="83" t="s">
        <v>7</v>
      </c>
      <c r="B8" s="83"/>
      <c r="C8" s="4" t="s">
        <v>50</v>
      </c>
      <c r="D8" s="4" t="s">
        <v>51</v>
      </c>
      <c r="E8" s="4" t="s">
        <v>51</v>
      </c>
      <c r="F8" s="4" t="s">
        <v>41</v>
      </c>
      <c r="G8" s="4" t="s">
        <v>41</v>
      </c>
      <c r="H8" s="4" t="s">
        <v>41</v>
      </c>
      <c r="I8" s="4" t="s">
        <v>41</v>
      </c>
      <c r="J8" s="4" t="s">
        <v>41</v>
      </c>
    </row>
    <row r="9" spans="1:10" ht="24.95" customHeight="1">
      <c r="A9" s="83"/>
      <c r="B9" s="83"/>
      <c r="C9" s="96" t="s">
        <v>118</v>
      </c>
      <c r="D9" s="83" t="s">
        <v>5</v>
      </c>
      <c r="E9" s="83"/>
      <c r="F9" s="83"/>
      <c r="G9" s="83"/>
      <c r="H9" s="83"/>
      <c r="I9" s="83"/>
      <c r="J9" s="6">
        <f>1-COUNTIF(D8:I8,"是")/(COUNTIF(D8:I8,"是")+COUNTIF(D8:I8,"否"))</f>
        <v>1</v>
      </c>
    </row>
    <row r="10" spans="1:10" ht="30" customHeight="1">
      <c r="A10" s="84" t="s">
        <v>52</v>
      </c>
      <c r="B10" s="84"/>
      <c r="C10" s="84"/>
      <c r="D10" s="85"/>
      <c r="E10" s="85"/>
      <c r="F10" s="85"/>
      <c r="G10" s="85"/>
      <c r="H10" s="85"/>
      <c r="I10" s="85"/>
      <c r="J10" s="85"/>
    </row>
  </sheetData>
  <mergeCells count="11">
    <mergeCell ref="D2:I2"/>
    <mergeCell ref="D9:I9"/>
    <mergeCell ref="A10:C10"/>
    <mergeCell ref="D10:J10"/>
    <mergeCell ref="A2:A3"/>
    <mergeCell ref="A4:A5"/>
    <mergeCell ref="B2:B3"/>
    <mergeCell ref="B4:B5"/>
    <mergeCell ref="C2:C3"/>
    <mergeCell ref="J2:J3"/>
    <mergeCell ref="A8:B9"/>
  </mergeCells>
  <phoneticPr fontId="26" type="noConversion"/>
  <pageMargins left="0.75138888888888899" right="0.75138888888888899" top="1" bottom="1" header="0.5" footer="0.5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2"/>
  <dimension ref="A1:J20"/>
  <sheetViews>
    <sheetView tabSelected="1" view="pageBreakPreview" zoomScaleNormal="100" workbookViewId="0">
      <selection activeCell="C6" sqref="C6:I6"/>
    </sheetView>
  </sheetViews>
  <sheetFormatPr defaultColWidth="9" defaultRowHeight="13.5"/>
  <cols>
    <col min="1" max="1" width="7.625" customWidth="1"/>
    <col min="3" max="3" width="10.375" customWidth="1"/>
    <col min="4" max="7" width="8.625" customWidth="1"/>
    <col min="8" max="8" width="8.75" customWidth="1"/>
    <col min="9" max="9" width="8.625" customWidth="1"/>
    <col min="10" max="10" width="10.625" customWidth="1"/>
  </cols>
  <sheetData>
    <row r="1" spans="1:10" ht="15" customHeight="1">
      <c r="A1" s="1" t="s">
        <v>53</v>
      </c>
      <c r="B1" s="1"/>
      <c r="C1" s="1"/>
      <c r="D1" s="2"/>
      <c r="E1" s="2"/>
      <c r="F1" s="2"/>
      <c r="G1" s="2"/>
      <c r="H1" s="2"/>
      <c r="I1" s="2"/>
      <c r="J1" s="2"/>
    </row>
    <row r="2" spans="1:10" ht="24.95" customHeight="1">
      <c r="A2" s="82" t="s">
        <v>34</v>
      </c>
      <c r="B2" s="82" t="s">
        <v>35</v>
      </c>
      <c r="C2" s="82" t="s">
        <v>36</v>
      </c>
      <c r="D2" s="82" t="s">
        <v>37</v>
      </c>
      <c r="E2" s="82"/>
      <c r="F2" s="82"/>
      <c r="G2" s="82"/>
      <c r="H2" s="82"/>
      <c r="I2" s="82"/>
      <c r="J2" s="82" t="s">
        <v>38</v>
      </c>
    </row>
    <row r="3" spans="1:10" ht="24.95" customHeight="1">
      <c r="A3" s="82"/>
      <c r="B3" s="82"/>
      <c r="C3" s="82"/>
      <c r="D3" s="4" t="s">
        <v>39</v>
      </c>
      <c r="E3" s="4" t="s">
        <v>41</v>
      </c>
      <c r="F3" s="4" t="s">
        <v>41</v>
      </c>
      <c r="G3" s="4" t="s">
        <v>41</v>
      </c>
      <c r="H3" s="4" t="s">
        <v>41</v>
      </c>
      <c r="I3" s="4" t="s">
        <v>41</v>
      </c>
      <c r="J3" s="82"/>
    </row>
    <row r="4" spans="1:10" ht="53.1" customHeight="1">
      <c r="A4" s="28">
        <v>1</v>
      </c>
      <c r="B4" s="4" t="s">
        <v>54</v>
      </c>
      <c r="C4" s="4" t="s">
        <v>55</v>
      </c>
      <c r="D4" s="4" t="s">
        <v>44</v>
      </c>
      <c r="E4" s="4" t="s">
        <v>41</v>
      </c>
      <c r="F4" s="4" t="s">
        <v>41</v>
      </c>
      <c r="G4" s="4" t="s">
        <v>41</v>
      </c>
      <c r="H4" s="4" t="s">
        <v>41</v>
      </c>
      <c r="I4" s="4" t="s">
        <v>41</v>
      </c>
      <c r="J4" s="5">
        <f>IF(D4="/","/",1-COUNTIF(D4:I4,"不符合")/(COUNTIF(D4:I4,"符合")+COUNTIF(D4:I4,"不符合")))</f>
        <v>1</v>
      </c>
    </row>
    <row r="5" spans="1:10" ht="53.1" customHeight="1">
      <c r="A5" s="28">
        <v>2</v>
      </c>
      <c r="B5" s="4" t="s">
        <v>56</v>
      </c>
      <c r="C5" s="4" t="s">
        <v>57</v>
      </c>
      <c r="D5" s="4" t="s">
        <v>44</v>
      </c>
      <c r="E5" s="4" t="s">
        <v>41</v>
      </c>
      <c r="F5" s="4" t="s">
        <v>41</v>
      </c>
      <c r="G5" s="4" t="s">
        <v>41</v>
      </c>
      <c r="H5" s="4" t="s">
        <v>41</v>
      </c>
      <c r="I5" s="4" t="s">
        <v>41</v>
      </c>
      <c r="J5" s="5">
        <f>IF(D5="/","/",1-COUNTIF(D5:I5,"不符合")/(COUNTIF(D5:I5,"符合")+COUNTIF(D5:I5,"不符合")))</f>
        <v>1</v>
      </c>
    </row>
    <row r="6" spans="1:10" ht="53.1" customHeight="1">
      <c r="A6" s="90">
        <v>3</v>
      </c>
      <c r="B6" s="93" t="s">
        <v>58</v>
      </c>
      <c r="C6" s="4" t="s">
        <v>59</v>
      </c>
      <c r="D6" s="4" t="s">
        <v>44</v>
      </c>
      <c r="E6" s="4" t="s">
        <v>41</v>
      </c>
      <c r="F6" s="4" t="s">
        <v>41</v>
      </c>
      <c r="G6" s="4" t="s">
        <v>41</v>
      </c>
      <c r="H6" s="4" t="s">
        <v>41</v>
      </c>
      <c r="I6" s="4" t="s">
        <v>41</v>
      </c>
      <c r="J6" s="5">
        <f>IF(D6="/","/",1-COUNTIF(D6:I6,"不符合")/(COUNTIF(D6:I6,"符合")+COUNTIF(D6:I6,"不符合")))</f>
        <v>1</v>
      </c>
    </row>
    <row r="7" spans="1:10" ht="53.1" customHeight="1">
      <c r="A7" s="91"/>
      <c r="B7" s="94"/>
      <c r="C7" s="96" t="s">
        <v>119</v>
      </c>
      <c r="D7" s="4">
        <v>3</v>
      </c>
      <c r="E7" s="4" t="s">
        <v>41</v>
      </c>
      <c r="F7" s="4" t="s">
        <v>41</v>
      </c>
      <c r="G7" s="4" t="s">
        <v>41</v>
      </c>
      <c r="H7" s="4" t="s">
        <v>41</v>
      </c>
      <c r="I7" s="4" t="s">
        <v>41</v>
      </c>
      <c r="J7" s="5">
        <v>1</v>
      </c>
    </row>
    <row r="8" spans="1:10" ht="53.1" customHeight="1">
      <c r="A8" s="92"/>
      <c r="B8" s="95"/>
      <c r="C8" s="4" t="s">
        <v>61</v>
      </c>
      <c r="D8" s="4" t="s">
        <v>44</v>
      </c>
      <c r="E8" s="4" t="s">
        <v>41</v>
      </c>
      <c r="F8" s="4" t="s">
        <v>41</v>
      </c>
      <c r="G8" s="4" t="s">
        <v>41</v>
      </c>
      <c r="H8" s="4" t="s">
        <v>41</v>
      </c>
      <c r="I8" s="4" t="s">
        <v>41</v>
      </c>
      <c r="J8" s="5">
        <f>IF(D8="/","/",1-COUNTIF(D8:I8,"不符合")/(COUNTIF(D8:I8,"符合")+COUNTIF(D8:I8,"不符合")))</f>
        <v>1</v>
      </c>
    </row>
    <row r="9" spans="1:10" ht="24.95" customHeight="1">
      <c r="A9" s="83" t="s">
        <v>8</v>
      </c>
      <c r="B9" s="83"/>
      <c r="C9" s="4" t="s">
        <v>50</v>
      </c>
      <c r="D9" s="4" t="s">
        <v>51</v>
      </c>
      <c r="E9" s="4" t="s">
        <v>41</v>
      </c>
      <c r="F9" s="4" t="s">
        <v>41</v>
      </c>
      <c r="G9" s="4" t="s">
        <v>41</v>
      </c>
      <c r="H9" s="4" t="s">
        <v>41</v>
      </c>
      <c r="I9" s="4" t="s">
        <v>41</v>
      </c>
      <c r="J9" s="4" t="s">
        <v>41</v>
      </c>
    </row>
    <row r="11" spans="1:10" ht="24.95" customHeight="1">
      <c r="A11" s="82" t="s">
        <v>34</v>
      </c>
      <c r="B11" s="82" t="s">
        <v>35</v>
      </c>
      <c r="C11" s="82" t="s">
        <v>36</v>
      </c>
      <c r="D11" s="82" t="s">
        <v>37</v>
      </c>
      <c r="E11" s="82"/>
      <c r="F11" s="82"/>
      <c r="G11" s="82"/>
      <c r="H11" s="82"/>
      <c r="I11" s="82"/>
      <c r="J11" s="82" t="s">
        <v>38</v>
      </c>
    </row>
    <row r="12" spans="1:10" ht="24.95" customHeight="1">
      <c r="A12" s="82"/>
      <c r="B12" s="82"/>
      <c r="C12" s="82"/>
      <c r="D12" s="4" t="s">
        <v>41</v>
      </c>
      <c r="E12" s="4" t="s">
        <v>41</v>
      </c>
      <c r="F12" s="4" t="s">
        <v>41</v>
      </c>
      <c r="G12" s="4" t="s">
        <v>41</v>
      </c>
      <c r="H12" s="4" t="s">
        <v>41</v>
      </c>
      <c r="I12" s="4" t="s">
        <v>41</v>
      </c>
      <c r="J12" s="82"/>
    </row>
    <row r="13" spans="1:10" ht="53.1" customHeight="1">
      <c r="A13" s="28">
        <v>1</v>
      </c>
      <c r="B13" s="4" t="s">
        <v>54</v>
      </c>
      <c r="C13" s="4" t="s">
        <v>55</v>
      </c>
      <c r="D13" s="4" t="s">
        <v>41</v>
      </c>
      <c r="E13" s="4" t="s">
        <v>41</v>
      </c>
      <c r="F13" s="4" t="s">
        <v>41</v>
      </c>
      <c r="G13" s="4" t="s">
        <v>41</v>
      </c>
      <c r="H13" s="4" t="s">
        <v>41</v>
      </c>
      <c r="I13" s="4" t="s">
        <v>41</v>
      </c>
      <c r="J13" s="5" t="str">
        <f t="shared" ref="J13:J16" si="0">IF(D13="/","/",1-COUNTIF(D13:I13,"不符合")/(COUNTIF(D13:I13,"符合")+COUNTIF(D13:I13,"不符合")))</f>
        <v>/</v>
      </c>
    </row>
    <row r="14" spans="1:10" ht="53.1" customHeight="1">
      <c r="A14" s="28">
        <v>2</v>
      </c>
      <c r="B14" s="4" t="s">
        <v>56</v>
      </c>
      <c r="C14" s="4" t="s">
        <v>57</v>
      </c>
      <c r="D14" s="4" t="s">
        <v>41</v>
      </c>
      <c r="E14" s="4" t="s">
        <v>41</v>
      </c>
      <c r="F14" s="4" t="s">
        <v>41</v>
      </c>
      <c r="G14" s="4" t="s">
        <v>41</v>
      </c>
      <c r="H14" s="4" t="s">
        <v>41</v>
      </c>
      <c r="I14" s="4" t="s">
        <v>41</v>
      </c>
      <c r="J14" s="5" t="str">
        <f t="shared" si="0"/>
        <v>/</v>
      </c>
    </row>
    <row r="15" spans="1:10" ht="53.1" customHeight="1">
      <c r="A15" s="90">
        <v>3</v>
      </c>
      <c r="B15" s="93" t="s">
        <v>58</v>
      </c>
      <c r="C15" s="4" t="s">
        <v>59</v>
      </c>
      <c r="D15" s="4" t="s">
        <v>41</v>
      </c>
      <c r="E15" s="4" t="s">
        <v>41</v>
      </c>
      <c r="F15" s="4" t="s">
        <v>41</v>
      </c>
      <c r="G15" s="4" t="s">
        <v>41</v>
      </c>
      <c r="H15" s="4" t="s">
        <v>41</v>
      </c>
      <c r="I15" s="4" t="s">
        <v>41</v>
      </c>
      <c r="J15" s="5" t="str">
        <f t="shared" si="0"/>
        <v>/</v>
      </c>
    </row>
    <row r="16" spans="1:10" ht="53.1" customHeight="1">
      <c r="A16" s="91"/>
      <c r="B16" s="94"/>
      <c r="C16" s="4" t="s">
        <v>60</v>
      </c>
      <c r="D16" s="4" t="s">
        <v>41</v>
      </c>
      <c r="E16" s="4" t="s">
        <v>41</v>
      </c>
      <c r="F16" s="4" t="s">
        <v>41</v>
      </c>
      <c r="G16" s="4" t="s">
        <v>41</v>
      </c>
      <c r="H16" s="4" t="s">
        <v>41</v>
      </c>
      <c r="I16" s="4" t="s">
        <v>41</v>
      </c>
      <c r="J16" s="5" t="str">
        <f t="shared" si="0"/>
        <v>/</v>
      </c>
    </row>
    <row r="17" spans="1:10" ht="53.1" customHeight="1">
      <c r="A17" s="92"/>
      <c r="B17" s="95"/>
      <c r="C17" s="4" t="s">
        <v>61</v>
      </c>
      <c r="D17" s="4" t="s">
        <v>41</v>
      </c>
      <c r="E17" s="4" t="s">
        <v>41</v>
      </c>
      <c r="F17" s="4" t="s">
        <v>41</v>
      </c>
      <c r="G17" s="4" t="s">
        <v>41</v>
      </c>
      <c r="H17" s="4" t="s">
        <v>41</v>
      </c>
      <c r="I17" s="4" t="s">
        <v>41</v>
      </c>
      <c r="J17" s="5" t="str">
        <f>IF(D17="/","/",1-COUNTIF(D17:I17,"不符合")/(COUNTIF(D17:I17,"符合")+COUNTIF(D17:I17,"不符合")))</f>
        <v>/</v>
      </c>
    </row>
    <row r="18" spans="1:10" ht="24.95" customHeight="1">
      <c r="A18" s="83" t="s">
        <v>8</v>
      </c>
      <c r="B18" s="83"/>
      <c r="C18" s="4" t="s">
        <v>50</v>
      </c>
      <c r="D18" s="4" t="s">
        <v>41</v>
      </c>
      <c r="E18" s="4" t="s">
        <v>41</v>
      </c>
      <c r="F18" s="4" t="s">
        <v>41</v>
      </c>
      <c r="G18" s="4" t="s">
        <v>41</v>
      </c>
      <c r="H18" s="4" t="s">
        <v>41</v>
      </c>
      <c r="I18" s="4" t="s">
        <v>41</v>
      </c>
      <c r="J18" s="4" t="s">
        <v>41</v>
      </c>
    </row>
    <row r="19" spans="1:10" ht="24.95" customHeight="1">
      <c r="A19" s="83"/>
      <c r="B19" s="83"/>
      <c r="C19" s="4" t="s">
        <v>5</v>
      </c>
      <c r="D19" s="87" t="s">
        <v>5</v>
      </c>
      <c r="E19" s="88"/>
      <c r="F19" s="88"/>
      <c r="G19" s="88"/>
      <c r="H19" s="88"/>
      <c r="I19" s="89"/>
      <c r="J19" s="6">
        <f>1-COUNTIF(D9:I18,"是")/(COUNTIF(D9:I18,"是")+COUNTIF(D9:I18,"否"))</f>
        <v>1</v>
      </c>
    </row>
    <row r="20" spans="1:10" ht="30" customHeight="1">
      <c r="A20" s="84" t="s">
        <v>52</v>
      </c>
      <c r="B20" s="84"/>
      <c r="C20" s="84"/>
      <c r="D20" s="85"/>
      <c r="E20" s="85"/>
      <c r="F20" s="85"/>
      <c r="G20" s="85"/>
      <c r="H20" s="85"/>
      <c r="I20" s="85"/>
      <c r="J20" s="85"/>
    </row>
  </sheetData>
  <mergeCells count="19">
    <mergeCell ref="J2:J3"/>
    <mergeCell ref="J11:J12"/>
    <mergeCell ref="A18:B19"/>
    <mergeCell ref="D2:I2"/>
    <mergeCell ref="A9:B9"/>
    <mergeCell ref="D11:I11"/>
    <mergeCell ref="D19:I19"/>
    <mergeCell ref="A20:C20"/>
    <mergeCell ref="D20:J20"/>
    <mergeCell ref="A2:A3"/>
    <mergeCell ref="A6:A8"/>
    <mergeCell ref="A11:A12"/>
    <mergeCell ref="A15:A17"/>
    <mergeCell ref="B2:B3"/>
    <mergeCell ref="B6:B8"/>
    <mergeCell ref="B11:B12"/>
    <mergeCell ref="B15:B17"/>
    <mergeCell ref="C2:C3"/>
    <mergeCell ref="C11:C12"/>
  </mergeCells>
  <phoneticPr fontId="26" type="noConversion"/>
  <pageMargins left="0.75138888888888899" right="0.75138888888888899" top="1" bottom="1" header="0.5" footer="0.5"/>
  <pageSetup paperSize="9" scale="90" orientation="portrait" r:id="rId1"/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J18"/>
  <sheetViews>
    <sheetView view="pageBreakPreview" zoomScaleNormal="100" workbookViewId="0">
      <selection activeCell="D2" sqref="D2:I2"/>
    </sheetView>
  </sheetViews>
  <sheetFormatPr defaultColWidth="9" defaultRowHeight="13.5"/>
  <cols>
    <col min="1" max="1" width="7.625" customWidth="1"/>
    <col min="3" max="3" width="10.375" customWidth="1"/>
    <col min="4" max="9" width="8.625" customWidth="1"/>
    <col min="10" max="10" width="10.625" customWidth="1"/>
  </cols>
  <sheetData>
    <row r="1" spans="1:10" ht="15" customHeight="1">
      <c r="A1" s="1" t="s">
        <v>62</v>
      </c>
      <c r="B1" s="1"/>
      <c r="C1" s="1"/>
      <c r="D1" s="2"/>
      <c r="E1" s="2"/>
      <c r="F1" s="2"/>
      <c r="G1" s="2"/>
      <c r="H1" s="2"/>
      <c r="I1" s="2"/>
      <c r="J1" s="2"/>
    </row>
    <row r="2" spans="1:10" ht="24.95" customHeight="1">
      <c r="A2" s="82" t="s">
        <v>34</v>
      </c>
      <c r="B2" s="82" t="s">
        <v>35</v>
      </c>
      <c r="C2" s="82" t="s">
        <v>36</v>
      </c>
      <c r="D2" s="82" t="s">
        <v>37</v>
      </c>
      <c r="E2" s="82"/>
      <c r="F2" s="82"/>
      <c r="G2" s="82"/>
      <c r="H2" s="82"/>
      <c r="I2" s="82"/>
      <c r="J2" s="82" t="s">
        <v>38</v>
      </c>
    </row>
    <row r="3" spans="1:10" ht="24.95" customHeight="1">
      <c r="A3" s="82"/>
      <c r="B3" s="82"/>
      <c r="C3" s="82"/>
      <c r="D3" s="4" t="s">
        <v>39</v>
      </c>
      <c r="E3" s="4" t="s">
        <v>41</v>
      </c>
      <c r="F3" s="4" t="s">
        <v>41</v>
      </c>
      <c r="G3" s="4" t="s">
        <v>41</v>
      </c>
      <c r="H3" s="4" t="s">
        <v>41</v>
      </c>
      <c r="I3" s="4" t="s">
        <v>41</v>
      </c>
      <c r="J3" s="82"/>
    </row>
    <row r="4" spans="1:10" ht="54.95" customHeight="1">
      <c r="A4" s="90">
        <v>1</v>
      </c>
      <c r="B4" s="93" t="s">
        <v>63</v>
      </c>
      <c r="C4" s="4" t="s">
        <v>64</v>
      </c>
      <c r="D4" s="4" t="s">
        <v>44</v>
      </c>
      <c r="E4" s="4" t="s">
        <v>41</v>
      </c>
      <c r="F4" s="4" t="s">
        <v>41</v>
      </c>
      <c r="G4" s="4" t="s">
        <v>41</v>
      </c>
      <c r="H4" s="4" t="s">
        <v>41</v>
      </c>
      <c r="I4" s="4" t="s">
        <v>41</v>
      </c>
      <c r="J4" s="5">
        <f t="shared" ref="J4:J7" si="0">IF(D4="/","/",1-COUNTIF(D4:I4,"不符合")/(COUNTIF(D4:I4,"符合")+COUNTIF(D4:I4,"不符合")))</f>
        <v>1</v>
      </c>
    </row>
    <row r="5" spans="1:10" ht="54.95" customHeight="1">
      <c r="A5" s="92"/>
      <c r="B5" s="95"/>
      <c r="C5" s="4" t="s">
        <v>65</v>
      </c>
      <c r="D5" s="4" t="s">
        <v>44</v>
      </c>
      <c r="E5" s="4" t="s">
        <v>41</v>
      </c>
      <c r="F5" s="4" t="s">
        <v>41</v>
      </c>
      <c r="G5" s="4" t="s">
        <v>41</v>
      </c>
      <c r="H5" s="4" t="s">
        <v>41</v>
      </c>
      <c r="I5" s="4" t="s">
        <v>41</v>
      </c>
      <c r="J5" s="5">
        <f t="shared" si="0"/>
        <v>1</v>
      </c>
    </row>
    <row r="6" spans="1:10" ht="54.95" customHeight="1">
      <c r="A6" s="28">
        <v>2</v>
      </c>
      <c r="B6" s="4" t="s">
        <v>66</v>
      </c>
      <c r="C6" s="4" t="s">
        <v>67</v>
      </c>
      <c r="D6" s="4" t="s">
        <v>44</v>
      </c>
      <c r="E6" s="4" t="s">
        <v>41</v>
      </c>
      <c r="F6" s="4" t="s">
        <v>41</v>
      </c>
      <c r="G6" s="4" t="s">
        <v>41</v>
      </c>
      <c r="H6" s="4" t="s">
        <v>41</v>
      </c>
      <c r="I6" s="4" t="s">
        <v>41</v>
      </c>
      <c r="J6" s="5">
        <f t="shared" si="0"/>
        <v>1</v>
      </c>
    </row>
    <row r="7" spans="1:10" ht="54.95" customHeight="1">
      <c r="A7" s="28">
        <v>3</v>
      </c>
      <c r="B7" s="4" t="s">
        <v>68</v>
      </c>
      <c r="C7" s="4" t="s">
        <v>69</v>
      </c>
      <c r="D7" s="4" t="s">
        <v>44</v>
      </c>
      <c r="E7" s="4" t="s">
        <v>41</v>
      </c>
      <c r="F7" s="4" t="s">
        <v>41</v>
      </c>
      <c r="G7" s="4" t="s">
        <v>41</v>
      </c>
      <c r="H7" s="4" t="s">
        <v>41</v>
      </c>
      <c r="I7" s="4" t="s">
        <v>41</v>
      </c>
      <c r="J7" s="5">
        <f t="shared" si="0"/>
        <v>1</v>
      </c>
    </row>
    <row r="8" spans="1:10" ht="24.95" customHeight="1">
      <c r="A8" s="83" t="s">
        <v>9</v>
      </c>
      <c r="B8" s="83"/>
      <c r="C8" s="4" t="s">
        <v>50</v>
      </c>
      <c r="D8" s="4" t="s">
        <v>51</v>
      </c>
      <c r="E8" s="4" t="s">
        <v>41</v>
      </c>
      <c r="F8" s="4" t="s">
        <v>41</v>
      </c>
      <c r="G8" s="4" t="s">
        <v>41</v>
      </c>
      <c r="H8" s="4" t="s">
        <v>41</v>
      </c>
      <c r="I8" s="4" t="s">
        <v>41</v>
      </c>
      <c r="J8" s="4" t="s">
        <v>41</v>
      </c>
    </row>
    <row r="10" spans="1:10" ht="24.95" customHeight="1">
      <c r="A10" s="82" t="s">
        <v>34</v>
      </c>
      <c r="B10" s="82" t="s">
        <v>35</v>
      </c>
      <c r="C10" s="82" t="s">
        <v>36</v>
      </c>
      <c r="D10" s="82" t="s">
        <v>37</v>
      </c>
      <c r="E10" s="82"/>
      <c r="F10" s="82"/>
      <c r="G10" s="82"/>
      <c r="H10" s="82"/>
      <c r="I10" s="82"/>
      <c r="J10" s="82" t="s">
        <v>38</v>
      </c>
    </row>
    <row r="11" spans="1:10" ht="24.95" customHeight="1">
      <c r="A11" s="82"/>
      <c r="B11" s="82"/>
      <c r="C11" s="82"/>
      <c r="D11" s="4" t="s">
        <v>41</v>
      </c>
      <c r="E11" s="4" t="s">
        <v>41</v>
      </c>
      <c r="F11" s="4" t="s">
        <v>41</v>
      </c>
      <c r="G11" s="4" t="s">
        <v>41</v>
      </c>
      <c r="H11" s="4" t="s">
        <v>41</v>
      </c>
      <c r="I11" s="4" t="s">
        <v>41</v>
      </c>
      <c r="J11" s="82"/>
    </row>
    <row r="12" spans="1:10" ht="54.95" customHeight="1">
      <c r="A12" s="90">
        <v>1</v>
      </c>
      <c r="B12" s="93" t="s">
        <v>63</v>
      </c>
      <c r="C12" s="4" t="s">
        <v>64</v>
      </c>
      <c r="D12" s="4" t="s">
        <v>41</v>
      </c>
      <c r="E12" s="4" t="s">
        <v>41</v>
      </c>
      <c r="F12" s="4" t="s">
        <v>41</v>
      </c>
      <c r="G12" s="4" t="s">
        <v>41</v>
      </c>
      <c r="H12" s="4" t="s">
        <v>41</v>
      </c>
      <c r="I12" s="4" t="s">
        <v>41</v>
      </c>
      <c r="J12" s="5" t="str">
        <f t="shared" ref="J12:J15" si="1">IF(D12="/","/",1-COUNTIF(D12:I12,"不符合")/(COUNTIF(D12:I12,"符合")+COUNTIF(D12:I12,"不符合")))</f>
        <v>/</v>
      </c>
    </row>
    <row r="13" spans="1:10" ht="54.95" customHeight="1">
      <c r="A13" s="92"/>
      <c r="B13" s="95"/>
      <c r="C13" s="4" t="s">
        <v>65</v>
      </c>
      <c r="D13" s="4" t="s">
        <v>41</v>
      </c>
      <c r="E13" s="4" t="s">
        <v>41</v>
      </c>
      <c r="F13" s="4" t="s">
        <v>41</v>
      </c>
      <c r="G13" s="4" t="s">
        <v>41</v>
      </c>
      <c r="H13" s="4" t="s">
        <v>41</v>
      </c>
      <c r="I13" s="4" t="s">
        <v>41</v>
      </c>
      <c r="J13" s="5" t="str">
        <f t="shared" si="1"/>
        <v>/</v>
      </c>
    </row>
    <row r="14" spans="1:10" ht="54.95" customHeight="1">
      <c r="A14" s="28">
        <v>2</v>
      </c>
      <c r="B14" s="4" t="s">
        <v>66</v>
      </c>
      <c r="C14" s="4" t="s">
        <v>67</v>
      </c>
      <c r="D14" s="4" t="s">
        <v>41</v>
      </c>
      <c r="E14" s="4" t="s">
        <v>41</v>
      </c>
      <c r="F14" s="4" t="s">
        <v>41</v>
      </c>
      <c r="G14" s="4" t="s">
        <v>41</v>
      </c>
      <c r="H14" s="4" t="s">
        <v>41</v>
      </c>
      <c r="I14" s="4" t="s">
        <v>41</v>
      </c>
      <c r="J14" s="5" t="str">
        <f t="shared" si="1"/>
        <v>/</v>
      </c>
    </row>
    <row r="15" spans="1:10" ht="54.95" customHeight="1">
      <c r="A15" s="28">
        <v>3</v>
      </c>
      <c r="B15" s="4" t="s">
        <v>68</v>
      </c>
      <c r="C15" s="4" t="s">
        <v>69</v>
      </c>
      <c r="D15" s="4" t="s">
        <v>41</v>
      </c>
      <c r="E15" s="4" t="s">
        <v>41</v>
      </c>
      <c r="F15" s="4" t="s">
        <v>41</v>
      </c>
      <c r="G15" s="4" t="s">
        <v>41</v>
      </c>
      <c r="H15" s="4" t="s">
        <v>41</v>
      </c>
      <c r="I15" s="4" t="s">
        <v>41</v>
      </c>
      <c r="J15" s="5" t="str">
        <f t="shared" si="1"/>
        <v>/</v>
      </c>
    </row>
    <row r="16" spans="1:10" ht="24.95" customHeight="1">
      <c r="A16" s="83" t="s">
        <v>9</v>
      </c>
      <c r="B16" s="83"/>
      <c r="C16" s="4" t="s">
        <v>50</v>
      </c>
      <c r="D16" s="4" t="s">
        <v>41</v>
      </c>
      <c r="E16" s="4" t="s">
        <v>41</v>
      </c>
      <c r="F16" s="4" t="s">
        <v>41</v>
      </c>
      <c r="G16" s="4" t="s">
        <v>41</v>
      </c>
      <c r="H16" s="4" t="s">
        <v>41</v>
      </c>
      <c r="I16" s="4" t="s">
        <v>41</v>
      </c>
      <c r="J16" s="4" t="s">
        <v>41</v>
      </c>
    </row>
    <row r="17" spans="1:10" ht="24.95" customHeight="1">
      <c r="A17" s="83"/>
      <c r="B17" s="83"/>
      <c r="C17" s="4" t="s">
        <v>5</v>
      </c>
      <c r="D17" s="87" t="s">
        <v>5</v>
      </c>
      <c r="E17" s="88"/>
      <c r="F17" s="88"/>
      <c r="G17" s="88"/>
      <c r="H17" s="88"/>
      <c r="I17" s="89"/>
      <c r="J17" s="6">
        <f>1-COUNTIF(D8:I16,"是")/(COUNTIF(D8:I16,"是")+COUNTIF(D8:I16,"否"))</f>
        <v>1</v>
      </c>
    </row>
    <row r="18" spans="1:10" ht="30" customHeight="1">
      <c r="A18" s="84" t="s">
        <v>52</v>
      </c>
      <c r="B18" s="84"/>
      <c r="C18" s="84"/>
      <c r="D18" s="85"/>
      <c r="E18" s="85"/>
      <c r="F18" s="85"/>
      <c r="G18" s="85"/>
      <c r="H18" s="85"/>
      <c r="I18" s="85"/>
      <c r="J18" s="85"/>
    </row>
  </sheetData>
  <mergeCells count="19">
    <mergeCell ref="J2:J3"/>
    <mergeCell ref="J10:J11"/>
    <mergeCell ref="A16:B17"/>
    <mergeCell ref="D2:I2"/>
    <mergeCell ref="A8:B8"/>
    <mergeCell ref="D10:I10"/>
    <mergeCell ref="D17:I17"/>
    <mergeCell ref="A18:C18"/>
    <mergeCell ref="D18:J18"/>
    <mergeCell ref="A2:A3"/>
    <mergeCell ref="A4:A5"/>
    <mergeCell ref="A10:A11"/>
    <mergeCell ref="A12:A13"/>
    <mergeCell ref="B2:B3"/>
    <mergeCell ref="B4:B5"/>
    <mergeCell ref="B10:B11"/>
    <mergeCell ref="B12:B13"/>
    <mergeCell ref="C2:C3"/>
    <mergeCell ref="C10:C11"/>
  </mergeCells>
  <phoneticPr fontId="26" type="noConversion"/>
  <pageMargins left="0.75138888888888899" right="0.75138888888888899" top="1" bottom="1" header="0.5" footer="0.5"/>
  <pageSetup paperSize="9" scale="90" orientation="portrait" r:id="rId1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C20"/>
  <sheetViews>
    <sheetView view="pageBreakPreview" zoomScaleNormal="100" workbookViewId="0">
      <selection activeCell="C5" sqref="C5"/>
    </sheetView>
  </sheetViews>
  <sheetFormatPr defaultColWidth="9" defaultRowHeight="13.5"/>
  <sheetData>
    <row r="20" spans="3:3" ht="46.5">
      <c r="C20" s="27" t="s">
        <v>70</v>
      </c>
    </row>
  </sheetData>
  <phoneticPr fontId="26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H26"/>
  <sheetViews>
    <sheetView view="pageBreakPreview" topLeftCell="A4" zoomScaleNormal="85" workbookViewId="0">
      <selection activeCell="E21" sqref="E21:G21"/>
    </sheetView>
  </sheetViews>
  <sheetFormatPr defaultColWidth="9" defaultRowHeight="14.25" customHeight="1"/>
  <cols>
    <col min="1" max="1" width="11.625" style="11" customWidth="1"/>
    <col min="2" max="2" width="14.75" style="11" customWidth="1"/>
    <col min="3" max="3" width="7.25" style="11" customWidth="1"/>
    <col min="4" max="4" width="14.125" style="11" customWidth="1"/>
    <col min="5" max="6" width="8.25" style="11" customWidth="1"/>
    <col min="7" max="7" width="7.375" style="11" customWidth="1"/>
    <col min="8" max="8" width="11.875" style="11" customWidth="1"/>
    <col min="9" max="16384" width="9" style="11"/>
  </cols>
  <sheetData>
    <row r="1" spans="1:8" s="7" customFormat="1" ht="20.100000000000001" customHeight="1">
      <c r="A1" s="52" t="s">
        <v>16</v>
      </c>
      <c r="B1" s="53"/>
      <c r="C1" s="53"/>
      <c r="D1" s="53"/>
      <c r="E1" s="53"/>
      <c r="F1" s="53"/>
      <c r="G1" s="53"/>
      <c r="H1" s="53"/>
    </row>
    <row r="2" spans="1:8" s="7" customFormat="1" ht="30" customHeight="1">
      <c r="A2" s="54" t="s">
        <v>17</v>
      </c>
      <c r="B2" s="54"/>
      <c r="C2" s="54"/>
      <c r="D2" s="54"/>
      <c r="E2" s="54"/>
      <c r="F2" s="54"/>
      <c r="G2" s="54"/>
      <c r="H2" s="54"/>
    </row>
    <row r="3" spans="1:8" s="8" customFormat="1" ht="30" customHeight="1">
      <c r="A3" s="55" t="s">
        <v>71</v>
      </c>
      <c r="B3" s="55"/>
      <c r="C3" s="55"/>
      <c r="D3" s="12"/>
      <c r="E3" s="56" t="s">
        <v>19</v>
      </c>
      <c r="F3" s="56"/>
      <c r="G3" s="56"/>
      <c r="H3" s="56"/>
    </row>
    <row r="4" spans="1:8" s="8" customFormat="1" ht="30" customHeight="1">
      <c r="A4" s="57" t="s">
        <v>20</v>
      </c>
      <c r="B4" s="57"/>
      <c r="C4" s="57"/>
      <c r="D4" s="57"/>
      <c r="E4" s="58" t="s">
        <v>21</v>
      </c>
      <c r="F4" s="58"/>
      <c r="G4" s="58"/>
      <c r="H4" s="58"/>
    </row>
    <row r="5" spans="1:8" s="9" customFormat="1" ht="27.6" customHeight="1">
      <c r="A5" s="59" t="s">
        <v>22</v>
      </c>
      <c r="B5" s="60"/>
      <c r="C5" s="60"/>
      <c r="D5" s="60"/>
      <c r="E5" s="60"/>
      <c r="F5" s="60"/>
      <c r="G5" s="61"/>
      <c r="H5" s="65" t="s">
        <v>23</v>
      </c>
    </row>
    <row r="6" spans="1:8" s="9" customFormat="1" ht="30" customHeight="1">
      <c r="A6" s="16" t="s">
        <v>24</v>
      </c>
      <c r="B6" s="62" t="s">
        <v>25</v>
      </c>
      <c r="C6" s="63"/>
      <c r="D6" s="17" t="s">
        <v>26</v>
      </c>
      <c r="E6" s="64" t="s">
        <v>5</v>
      </c>
      <c r="F6" s="65"/>
      <c r="G6" s="65"/>
      <c r="H6" s="65"/>
    </row>
    <row r="7" spans="1:8" s="9" customFormat="1" ht="30" customHeight="1">
      <c r="A7" s="18">
        <v>1</v>
      </c>
      <c r="B7" s="66" t="s">
        <v>12</v>
      </c>
      <c r="C7" s="67"/>
      <c r="D7" s="20">
        <v>3</v>
      </c>
      <c r="E7" s="68">
        <f>机械设备!V9</f>
        <v>1</v>
      </c>
      <c r="F7" s="68"/>
      <c r="G7" s="68"/>
      <c r="H7" s="18"/>
    </row>
    <row r="8" spans="1:8" s="9" customFormat="1" ht="30" customHeight="1">
      <c r="A8" s="18">
        <v>2</v>
      </c>
      <c r="B8" s="66" t="s">
        <v>13</v>
      </c>
      <c r="C8" s="67"/>
      <c r="D8" s="21">
        <v>3</v>
      </c>
      <c r="E8" s="69">
        <f>特种设备!AB9</f>
        <v>1</v>
      </c>
      <c r="F8" s="70"/>
      <c r="G8" s="71"/>
      <c r="H8" s="18"/>
    </row>
    <row r="9" spans="1:8" s="9" customFormat="1" ht="30" customHeight="1">
      <c r="A9" s="18">
        <v>3</v>
      </c>
      <c r="B9" s="66" t="s">
        <v>14</v>
      </c>
      <c r="C9" s="67"/>
      <c r="D9" s="22">
        <v>1</v>
      </c>
      <c r="E9" s="69">
        <f>仪器仪表!O18</f>
        <v>1</v>
      </c>
      <c r="F9" s="70"/>
      <c r="G9" s="71"/>
      <c r="H9" s="18"/>
    </row>
    <row r="10" spans="1:8" s="9" customFormat="1" ht="30" customHeight="1">
      <c r="A10" s="18"/>
      <c r="B10" s="72"/>
      <c r="C10" s="73"/>
      <c r="D10" s="21"/>
      <c r="E10" s="59"/>
      <c r="F10" s="60"/>
      <c r="G10" s="61"/>
      <c r="H10" s="18"/>
    </row>
    <row r="11" spans="1:8" s="9" customFormat="1" ht="30" customHeight="1">
      <c r="A11" s="18"/>
      <c r="B11" s="74"/>
      <c r="C11" s="67"/>
      <c r="D11" s="21"/>
      <c r="E11" s="59"/>
      <c r="F11" s="60"/>
      <c r="G11" s="61"/>
      <c r="H11" s="18"/>
    </row>
    <row r="12" spans="1:8" s="9" customFormat="1" ht="30" customHeight="1">
      <c r="A12" s="18"/>
      <c r="B12" s="74"/>
      <c r="C12" s="67"/>
      <c r="D12" s="21"/>
      <c r="E12" s="59"/>
      <c r="F12" s="60"/>
      <c r="G12" s="61"/>
      <c r="H12" s="18"/>
    </row>
    <row r="13" spans="1:8" s="9" customFormat="1" ht="30" customHeight="1">
      <c r="A13" s="18"/>
      <c r="B13" s="74"/>
      <c r="C13" s="67"/>
      <c r="D13" s="21"/>
      <c r="E13" s="59"/>
      <c r="F13" s="60"/>
      <c r="G13" s="61"/>
      <c r="H13" s="18"/>
    </row>
    <row r="14" spans="1:8" s="9" customFormat="1" ht="30" customHeight="1">
      <c r="A14" s="18"/>
      <c r="B14" s="74"/>
      <c r="C14" s="67"/>
      <c r="D14" s="21"/>
      <c r="E14" s="59"/>
      <c r="F14" s="60"/>
      <c r="G14" s="61"/>
      <c r="H14" s="18"/>
    </row>
    <row r="15" spans="1:8" s="9" customFormat="1" ht="30" customHeight="1">
      <c r="A15" s="18"/>
      <c r="B15" s="23"/>
      <c r="C15" s="19"/>
      <c r="D15" s="21"/>
      <c r="E15" s="13"/>
      <c r="F15" s="14"/>
      <c r="G15" s="15"/>
      <c r="H15" s="18"/>
    </row>
    <row r="16" spans="1:8" s="9" customFormat="1" ht="30" customHeight="1">
      <c r="A16" s="18"/>
      <c r="B16" s="23"/>
      <c r="C16" s="19"/>
      <c r="D16" s="21"/>
      <c r="E16" s="13"/>
      <c r="F16" s="14"/>
      <c r="G16" s="15"/>
      <c r="H16" s="18"/>
    </row>
    <row r="17" spans="1:8" s="9" customFormat="1" ht="30" customHeight="1">
      <c r="A17" s="18"/>
      <c r="B17" s="74"/>
      <c r="C17" s="67"/>
      <c r="D17" s="21"/>
      <c r="E17" s="59"/>
      <c r="F17" s="60"/>
      <c r="G17" s="61"/>
      <c r="H17" s="18"/>
    </row>
    <row r="18" spans="1:8" s="9" customFormat="1" ht="30" customHeight="1">
      <c r="A18" s="18"/>
      <c r="B18" s="23"/>
      <c r="C18" s="19"/>
      <c r="D18" s="21"/>
      <c r="E18" s="13"/>
      <c r="F18" s="14"/>
      <c r="G18" s="15"/>
      <c r="H18" s="18"/>
    </row>
    <row r="19" spans="1:8" s="9" customFormat="1" ht="30" customHeight="1">
      <c r="A19" s="18"/>
      <c r="B19" s="74"/>
      <c r="C19" s="67"/>
      <c r="D19" s="21"/>
      <c r="E19" s="59"/>
      <c r="F19" s="60"/>
      <c r="G19" s="61"/>
      <c r="H19" s="18"/>
    </row>
    <row r="20" spans="1:8" s="9" customFormat="1" ht="30" customHeight="1">
      <c r="A20" s="18"/>
      <c r="B20" s="74"/>
      <c r="C20" s="67"/>
      <c r="D20" s="21"/>
      <c r="E20" s="59"/>
      <c r="F20" s="60"/>
      <c r="G20" s="61"/>
      <c r="H20" s="18"/>
    </row>
    <row r="21" spans="1:8" s="9" customFormat="1" ht="30" customHeight="1">
      <c r="A21" s="75" t="s">
        <v>27</v>
      </c>
      <c r="B21" s="76"/>
      <c r="C21" s="76"/>
      <c r="D21" s="77"/>
      <c r="E21" s="78">
        <f>AVERAGE(E7:G9)*100</f>
        <v>100</v>
      </c>
      <c r="F21" s="79"/>
      <c r="G21" s="80"/>
      <c r="H21" s="18"/>
    </row>
    <row r="22" spans="1:8" s="9" customFormat="1" ht="27.75" customHeight="1">
      <c r="A22" s="81" t="s">
        <v>28</v>
      </c>
      <c r="B22" s="76"/>
      <c r="C22" s="77"/>
      <c r="D22" s="25">
        <v>0</v>
      </c>
      <c r="E22" s="59" t="s">
        <v>29</v>
      </c>
      <c r="F22" s="60"/>
      <c r="G22" s="61"/>
      <c r="H22" s="24">
        <v>0</v>
      </c>
    </row>
    <row r="23" spans="1:8" s="9" customFormat="1" ht="27.75" customHeight="1">
      <c r="A23" s="81" t="s">
        <v>30</v>
      </c>
      <c r="B23" s="76"/>
      <c r="C23" s="77"/>
      <c r="D23" s="26">
        <f>E21-D22-H22</f>
        <v>100</v>
      </c>
      <c r="E23" s="65" t="s">
        <v>31</v>
      </c>
      <c r="F23" s="65"/>
      <c r="G23" s="65"/>
      <c r="H23" s="15" t="s">
        <v>32</v>
      </c>
    </row>
    <row r="24" spans="1:8" s="10" customFormat="1" ht="27.6" customHeight="1"/>
    <row r="25" spans="1:8" s="10" customFormat="1" ht="27.6" customHeight="1"/>
    <row r="26" spans="1:8" s="10" customFormat="1" ht="27.6" customHeight="1"/>
  </sheetData>
  <mergeCells count="38">
    <mergeCell ref="A23:C23"/>
    <mergeCell ref="E23:G23"/>
    <mergeCell ref="H5:H6"/>
    <mergeCell ref="B20:C20"/>
    <mergeCell ref="E20:G20"/>
    <mergeCell ref="A21:D21"/>
    <mergeCell ref="E21:G21"/>
    <mergeCell ref="A22:C22"/>
    <mergeCell ref="E22:G22"/>
    <mergeCell ref="B14:C14"/>
    <mergeCell ref="E14:G14"/>
    <mergeCell ref="B17:C17"/>
    <mergeCell ref="E17:G17"/>
    <mergeCell ref="B19:C19"/>
    <mergeCell ref="E19:G19"/>
    <mergeCell ref="B11:C11"/>
    <mergeCell ref="E11:G11"/>
    <mergeCell ref="B12:C12"/>
    <mergeCell ref="E12:G12"/>
    <mergeCell ref="B13:C13"/>
    <mergeCell ref="E13:G13"/>
    <mergeCell ref="B8:C8"/>
    <mergeCell ref="E8:G8"/>
    <mergeCell ref="B9:C9"/>
    <mergeCell ref="E9:G9"/>
    <mergeCell ref="B10:C10"/>
    <mergeCell ref="E10:G10"/>
    <mergeCell ref="A5:G5"/>
    <mergeCell ref="B6:C6"/>
    <mergeCell ref="E6:G6"/>
    <mergeCell ref="B7:C7"/>
    <mergeCell ref="E7:G7"/>
    <mergeCell ref="A1:H1"/>
    <mergeCell ref="A2:H2"/>
    <mergeCell ref="A3:C3"/>
    <mergeCell ref="E3:H3"/>
    <mergeCell ref="A4:D4"/>
    <mergeCell ref="E4:H4"/>
  </mergeCells>
  <phoneticPr fontId="26" type="noConversion"/>
  <printOptions horizontalCentered="1" verticalCentered="1"/>
  <pageMargins left="0.78740157480314998" right="0.78740157480314998" top="0.78740157480314998" bottom="0.78740157480314998" header="0.511811023622047" footer="0.511811023622047"/>
  <pageSetup paperSize="9" orientation="portrait" errors="blank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/>
  <dimension ref="A1:V20"/>
  <sheetViews>
    <sheetView view="pageBreakPreview" topLeftCell="B1" zoomScaleNormal="100" workbookViewId="0">
      <selection activeCell="J15" sqref="J15"/>
    </sheetView>
  </sheetViews>
  <sheetFormatPr defaultColWidth="9" defaultRowHeight="13.5"/>
  <cols>
    <col min="1" max="1" width="7.625" customWidth="1"/>
    <col min="3" max="3" width="10.375" customWidth="1"/>
    <col min="4" max="15" width="10.625" customWidth="1"/>
    <col min="16" max="22" width="8.625" customWidth="1"/>
  </cols>
  <sheetData>
    <row r="1" spans="1:22" ht="15" customHeight="1">
      <c r="A1" s="1" t="s">
        <v>72</v>
      </c>
      <c r="B1" s="1"/>
      <c r="C1" s="1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4.95" customHeight="1">
      <c r="A2" s="82" t="s">
        <v>34</v>
      </c>
      <c r="B2" s="82" t="s">
        <v>35</v>
      </c>
      <c r="C2" s="82" t="s">
        <v>36</v>
      </c>
      <c r="D2" s="82" t="s">
        <v>37</v>
      </c>
      <c r="E2" s="82"/>
      <c r="F2" s="82"/>
      <c r="G2" s="82"/>
      <c r="H2" s="82"/>
      <c r="I2" s="82"/>
      <c r="J2" s="82" t="s">
        <v>37</v>
      </c>
      <c r="K2" s="82"/>
      <c r="L2" s="82"/>
      <c r="M2" s="82"/>
      <c r="N2" s="82"/>
      <c r="O2" s="82"/>
      <c r="P2" s="82" t="s">
        <v>37</v>
      </c>
      <c r="Q2" s="82"/>
      <c r="R2" s="82"/>
      <c r="S2" s="82"/>
      <c r="T2" s="82"/>
      <c r="U2" s="82"/>
      <c r="V2" s="82" t="s">
        <v>38</v>
      </c>
    </row>
    <row r="3" spans="1:22" ht="24.95" customHeight="1">
      <c r="A3" s="82"/>
      <c r="B3" s="82"/>
      <c r="C3" s="82"/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4">
        <v>13</v>
      </c>
      <c r="K3" s="4" t="s">
        <v>80</v>
      </c>
      <c r="L3" s="4" t="s">
        <v>81</v>
      </c>
      <c r="M3" s="4" t="s">
        <v>82</v>
      </c>
      <c r="N3" s="4" t="s">
        <v>83</v>
      </c>
      <c r="O3" s="4" t="s">
        <v>84</v>
      </c>
      <c r="P3" s="4" t="s">
        <v>85</v>
      </c>
      <c r="Q3" s="4" t="s">
        <v>86</v>
      </c>
      <c r="R3" s="4" t="s">
        <v>87</v>
      </c>
      <c r="S3" s="4" t="s">
        <v>88</v>
      </c>
      <c r="T3" s="4" t="s">
        <v>89</v>
      </c>
      <c r="U3" s="4" t="s">
        <v>41</v>
      </c>
      <c r="V3" s="82"/>
    </row>
    <row r="4" spans="1:22" ht="45" customHeight="1">
      <c r="A4" s="93">
        <v>1</v>
      </c>
      <c r="B4" s="93" t="s">
        <v>90</v>
      </c>
      <c r="C4" s="4" t="s">
        <v>91</v>
      </c>
      <c r="D4" s="4" t="s">
        <v>44</v>
      </c>
      <c r="E4" s="4" t="s">
        <v>44</v>
      </c>
      <c r="F4" s="4" t="s">
        <v>44</v>
      </c>
      <c r="G4" s="4" t="s">
        <v>44</v>
      </c>
      <c r="H4" s="4" t="s">
        <v>44</v>
      </c>
      <c r="I4" s="4" t="s">
        <v>44</v>
      </c>
      <c r="J4" s="4" t="s">
        <v>44</v>
      </c>
      <c r="K4" s="4" t="s">
        <v>44</v>
      </c>
      <c r="L4" s="4" t="s">
        <v>44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44</v>
      </c>
      <c r="S4" s="4" t="s">
        <v>44</v>
      </c>
      <c r="T4" s="4" t="s">
        <v>44</v>
      </c>
      <c r="U4" s="4" t="s">
        <v>41</v>
      </c>
      <c r="V4" s="5">
        <f>1-COUNTIF(D4:U4,"不符合")/(COUNTIF(D4:U4,"不符合")+COUNTIF(D4:U4,"符合"))</f>
        <v>1</v>
      </c>
    </row>
    <row r="5" spans="1:22" ht="35.1" customHeight="1">
      <c r="A5" s="95"/>
      <c r="B5" s="95"/>
      <c r="C5" s="4" t="s">
        <v>92</v>
      </c>
      <c r="D5" s="4" t="s">
        <v>44</v>
      </c>
      <c r="E5" s="4" t="s">
        <v>44</v>
      </c>
      <c r="F5" s="4" t="s">
        <v>44</v>
      </c>
      <c r="G5" s="4" t="s">
        <v>44</v>
      </c>
      <c r="H5" s="4" t="s">
        <v>44</v>
      </c>
      <c r="I5" s="4" t="s">
        <v>44</v>
      </c>
      <c r="J5" s="4" t="s">
        <v>44</v>
      </c>
      <c r="K5" s="4" t="s">
        <v>44</v>
      </c>
      <c r="L5" s="4" t="s">
        <v>44</v>
      </c>
      <c r="M5" s="4" t="s">
        <v>44</v>
      </c>
      <c r="N5" s="4" t="s">
        <v>44</v>
      </c>
      <c r="O5" s="4" t="s">
        <v>44</v>
      </c>
      <c r="P5" s="4" t="s">
        <v>44</v>
      </c>
      <c r="Q5" s="4" t="s">
        <v>44</v>
      </c>
      <c r="R5" s="4" t="s">
        <v>44</v>
      </c>
      <c r="S5" s="4" t="s">
        <v>44</v>
      </c>
      <c r="T5" s="4" t="s">
        <v>44</v>
      </c>
      <c r="U5" s="4" t="s">
        <v>41</v>
      </c>
      <c r="V5" s="5">
        <f>1-COUNTIF(D5:U5,"不符合")/(COUNTIF(D5:U5,"不符合")+COUNTIF(D5:U5,"符合"))</f>
        <v>1</v>
      </c>
    </row>
    <row r="6" spans="1:22" ht="54.95" customHeight="1">
      <c r="A6" s="4">
        <v>2</v>
      </c>
      <c r="B6" s="4" t="s">
        <v>93</v>
      </c>
      <c r="C6" s="4" t="s">
        <v>94</v>
      </c>
      <c r="D6" s="4" t="s">
        <v>44</v>
      </c>
      <c r="E6" s="4" t="s">
        <v>44</v>
      </c>
      <c r="F6" s="4" t="s">
        <v>44</v>
      </c>
      <c r="G6" s="4" t="s">
        <v>44</v>
      </c>
      <c r="H6" s="4" t="s">
        <v>44</v>
      </c>
      <c r="I6" s="4" t="s">
        <v>44</v>
      </c>
      <c r="J6" s="4" t="s">
        <v>44</v>
      </c>
      <c r="K6" s="4" t="s">
        <v>44</v>
      </c>
      <c r="L6" s="4" t="s">
        <v>44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44</v>
      </c>
      <c r="S6" s="4" t="s">
        <v>44</v>
      </c>
      <c r="T6" s="4" t="s">
        <v>44</v>
      </c>
      <c r="U6" s="4" t="s">
        <v>41</v>
      </c>
      <c r="V6" s="5">
        <f>1-COUNTIF(D6:U6,"不符合")/(COUNTIF(D6:U6,"不符合")+COUNTIF(D6:U6,"符合"))</f>
        <v>1</v>
      </c>
    </row>
    <row r="7" spans="1:22" ht="54.95" customHeight="1">
      <c r="A7" s="4">
        <v>3</v>
      </c>
      <c r="B7" s="4" t="s">
        <v>95</v>
      </c>
      <c r="C7" s="4" t="s">
        <v>96</v>
      </c>
      <c r="D7" s="4" t="s">
        <v>44</v>
      </c>
      <c r="E7" s="4" t="s">
        <v>44</v>
      </c>
      <c r="F7" s="4" t="s">
        <v>44</v>
      </c>
      <c r="G7" s="4" t="s">
        <v>44</v>
      </c>
      <c r="H7" s="4" t="s">
        <v>44</v>
      </c>
      <c r="I7" s="4" t="s">
        <v>44</v>
      </c>
      <c r="J7" s="4" t="s">
        <v>44</v>
      </c>
      <c r="K7" s="4" t="s">
        <v>44</v>
      </c>
      <c r="L7" s="4" t="s">
        <v>44</v>
      </c>
      <c r="M7" s="4" t="s">
        <v>44</v>
      </c>
      <c r="N7" s="4" t="s">
        <v>44</v>
      </c>
      <c r="O7" s="4" t="s">
        <v>44</v>
      </c>
      <c r="P7" s="4" t="s">
        <v>44</v>
      </c>
      <c r="Q7" s="4" t="s">
        <v>44</v>
      </c>
      <c r="R7" s="4" t="s">
        <v>44</v>
      </c>
      <c r="S7" s="4" t="s">
        <v>44</v>
      </c>
      <c r="T7" s="4" t="s">
        <v>44</v>
      </c>
      <c r="U7" s="4" t="s">
        <v>41</v>
      </c>
      <c r="V7" s="5">
        <f>1-COUNTIF(D7:U7,"不符合")/(COUNTIF(D7:U7,"不符合")+COUNTIF(D7:U7,"符合"))</f>
        <v>1</v>
      </c>
    </row>
    <row r="8" spans="1:22" ht="24.95" customHeight="1">
      <c r="A8" s="83" t="s">
        <v>12</v>
      </c>
      <c r="B8" s="83"/>
      <c r="C8" s="4" t="s">
        <v>50</v>
      </c>
      <c r="D8" s="4" t="s">
        <v>51</v>
      </c>
      <c r="E8" s="4" t="s">
        <v>51</v>
      </c>
      <c r="F8" s="4" t="s">
        <v>51</v>
      </c>
      <c r="G8" s="4" t="s">
        <v>51</v>
      </c>
      <c r="H8" s="4" t="s">
        <v>51</v>
      </c>
      <c r="I8" s="4" t="s">
        <v>51</v>
      </c>
      <c r="J8" s="4" t="s">
        <v>51</v>
      </c>
      <c r="K8" s="4" t="s">
        <v>51</v>
      </c>
      <c r="L8" s="4" t="s">
        <v>51</v>
      </c>
      <c r="M8" s="4" t="s">
        <v>51</v>
      </c>
      <c r="N8" s="4" t="s">
        <v>51</v>
      </c>
      <c r="O8" s="4" t="s">
        <v>51</v>
      </c>
      <c r="P8" s="4" t="s">
        <v>51</v>
      </c>
      <c r="Q8" s="4" t="s">
        <v>51</v>
      </c>
      <c r="R8" s="4" t="s">
        <v>51</v>
      </c>
      <c r="S8" s="4" t="s">
        <v>51</v>
      </c>
      <c r="T8" s="4" t="s">
        <v>51</v>
      </c>
      <c r="U8" s="4" t="s">
        <v>41</v>
      </c>
      <c r="V8" s="4" t="s">
        <v>41</v>
      </c>
    </row>
    <row r="9" spans="1:22" ht="24.95" customHeight="1">
      <c r="A9" s="83"/>
      <c r="B9" s="83"/>
      <c r="C9" s="4" t="s">
        <v>5</v>
      </c>
      <c r="D9" s="83" t="s">
        <v>5</v>
      </c>
      <c r="E9" s="83"/>
      <c r="F9" s="83"/>
      <c r="G9" s="83"/>
      <c r="H9" s="83"/>
      <c r="I9" s="83"/>
      <c r="J9" s="83" t="s">
        <v>5</v>
      </c>
      <c r="K9" s="83"/>
      <c r="L9" s="83"/>
      <c r="M9" s="83"/>
      <c r="N9" s="83"/>
      <c r="O9" s="83"/>
      <c r="P9" s="83" t="s">
        <v>5</v>
      </c>
      <c r="Q9" s="83"/>
      <c r="R9" s="83"/>
      <c r="S9" s="83"/>
      <c r="T9" s="83"/>
      <c r="U9" s="83"/>
      <c r="V9" s="6">
        <f>1-COUNTIF(D8:U8,"是")/(COUNTIF(D8:U8,"是")+COUNTIF(D8:U8,"否"))</f>
        <v>1</v>
      </c>
    </row>
    <row r="10" spans="1:22" ht="35.1" customHeight="1">
      <c r="A10" s="84" t="s">
        <v>52</v>
      </c>
      <c r="B10" s="84"/>
      <c r="C10" s="84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</row>
    <row r="11" spans="1:22">
      <c r="A11" s="3"/>
      <c r="B11" s="3"/>
      <c r="C11" s="3"/>
      <c r="D11" s="3"/>
      <c r="E11" s="3"/>
      <c r="F11" s="3"/>
      <c r="J11" s="3"/>
      <c r="K11" s="3"/>
      <c r="L11" s="3"/>
      <c r="M11" s="3"/>
      <c r="N11" s="3"/>
      <c r="O11" s="3"/>
      <c r="P11" s="3"/>
    </row>
    <row r="12" spans="1:22">
      <c r="A12" s="82" t="s">
        <v>37</v>
      </c>
      <c r="B12" s="82"/>
      <c r="C12" s="82"/>
      <c r="D12" s="82"/>
      <c r="E12" s="82"/>
      <c r="F12" s="82"/>
      <c r="J12" s="82" t="s">
        <v>37</v>
      </c>
      <c r="K12" s="82"/>
      <c r="L12" s="82"/>
      <c r="M12" s="82"/>
      <c r="N12" s="82"/>
      <c r="O12" s="82"/>
      <c r="P12" s="82" t="s">
        <v>38</v>
      </c>
    </row>
    <row r="13" spans="1:22">
      <c r="A13" s="4" t="s">
        <v>79</v>
      </c>
      <c r="B13" s="4" t="s">
        <v>80</v>
      </c>
      <c r="C13" s="4" t="s">
        <v>81</v>
      </c>
      <c r="D13" s="4" t="s">
        <v>82</v>
      </c>
      <c r="E13" s="4" t="s">
        <v>83</v>
      </c>
      <c r="F13" s="4" t="s">
        <v>84</v>
      </c>
      <c r="J13" s="4" t="s">
        <v>85</v>
      </c>
      <c r="K13" s="4" t="s">
        <v>86</v>
      </c>
      <c r="L13" s="4" t="s">
        <v>87</v>
      </c>
      <c r="M13" s="4" t="s">
        <v>88</v>
      </c>
      <c r="N13" s="4" t="s">
        <v>89</v>
      </c>
      <c r="O13" s="4" t="s">
        <v>41</v>
      </c>
      <c r="P13" s="82"/>
    </row>
    <row r="14" spans="1:22">
      <c r="A14" s="4" t="s">
        <v>44</v>
      </c>
      <c r="B14" s="4" t="s">
        <v>44</v>
      </c>
      <c r="C14" s="4" t="s">
        <v>44</v>
      </c>
      <c r="D14" s="4" t="s">
        <v>44</v>
      </c>
      <c r="E14" s="4" t="s">
        <v>44</v>
      </c>
      <c r="F14" s="4" t="s">
        <v>44</v>
      </c>
      <c r="J14" s="4" t="s">
        <v>44</v>
      </c>
      <c r="K14" s="4" t="s">
        <v>44</v>
      </c>
      <c r="L14" s="4" t="s">
        <v>44</v>
      </c>
      <c r="M14" s="4" t="s">
        <v>44</v>
      </c>
      <c r="N14" s="4" t="s">
        <v>44</v>
      </c>
      <c r="O14" s="4" t="s">
        <v>41</v>
      </c>
      <c r="P14" s="5" t="e">
        <f>1-COUNTIF(#REF!,"不符合")/(COUNTIF(#REF!,"不符合")+COUNTIF(#REF!,"符合"))</f>
        <v>#REF!</v>
      </c>
    </row>
    <row r="15" spans="1:22">
      <c r="A15" s="4" t="s">
        <v>44</v>
      </c>
      <c r="B15" s="4" t="s">
        <v>44</v>
      </c>
      <c r="C15" s="4" t="s">
        <v>44</v>
      </c>
      <c r="D15" s="4" t="s">
        <v>44</v>
      </c>
      <c r="E15" s="4" t="s">
        <v>44</v>
      </c>
      <c r="F15" s="4" t="s">
        <v>44</v>
      </c>
      <c r="J15" s="4" t="s">
        <v>44</v>
      </c>
      <c r="K15" s="4" t="s">
        <v>44</v>
      </c>
      <c r="L15" s="4" t="s">
        <v>44</v>
      </c>
      <c r="M15" s="4" t="s">
        <v>44</v>
      </c>
      <c r="N15" s="4" t="s">
        <v>44</v>
      </c>
      <c r="O15" s="4" t="s">
        <v>41</v>
      </c>
      <c r="P15" s="5" t="e">
        <f>1-COUNTIF(#REF!,"不符合")/(COUNTIF(#REF!,"不符合")+COUNTIF(#REF!,"符合"))</f>
        <v>#REF!</v>
      </c>
    </row>
    <row r="16" spans="1:22">
      <c r="A16" s="4" t="s">
        <v>44</v>
      </c>
      <c r="B16" s="4" t="s">
        <v>44</v>
      </c>
      <c r="C16" s="4" t="s">
        <v>44</v>
      </c>
      <c r="D16" s="4" t="s">
        <v>44</v>
      </c>
      <c r="E16" s="4" t="s">
        <v>44</v>
      </c>
      <c r="F16" s="4" t="s">
        <v>44</v>
      </c>
      <c r="J16" s="4" t="s">
        <v>44</v>
      </c>
      <c r="K16" s="4" t="s">
        <v>44</v>
      </c>
      <c r="L16" s="4" t="s">
        <v>44</v>
      </c>
      <c r="M16" s="4" t="s">
        <v>44</v>
      </c>
      <c r="N16" s="4" t="s">
        <v>44</v>
      </c>
      <c r="O16" s="4" t="s">
        <v>41</v>
      </c>
      <c r="P16" s="5" t="e">
        <f>1-COUNTIF(#REF!,"不符合")/(COUNTIF(#REF!,"不符合")+COUNTIF(#REF!,"符合"))</f>
        <v>#REF!</v>
      </c>
    </row>
    <row r="17" spans="1:16">
      <c r="A17" s="4" t="s">
        <v>44</v>
      </c>
      <c r="B17" s="4" t="s">
        <v>44</v>
      </c>
      <c r="C17" s="4" t="s">
        <v>44</v>
      </c>
      <c r="D17" s="4" t="s">
        <v>44</v>
      </c>
      <c r="E17" s="4" t="s">
        <v>44</v>
      </c>
      <c r="F17" s="4" t="s">
        <v>44</v>
      </c>
      <c r="J17" s="4" t="s">
        <v>44</v>
      </c>
      <c r="K17" s="4" t="s">
        <v>44</v>
      </c>
      <c r="L17" s="4" t="s">
        <v>44</v>
      </c>
      <c r="M17" s="4" t="s">
        <v>44</v>
      </c>
      <c r="N17" s="4" t="s">
        <v>44</v>
      </c>
      <c r="O17" s="4" t="s">
        <v>41</v>
      </c>
      <c r="P17" s="5" t="e">
        <f>1-COUNTIF(#REF!,"不符合")/(COUNTIF(#REF!,"不符合")+COUNTIF(#REF!,"符合"))</f>
        <v>#REF!</v>
      </c>
    </row>
    <row r="18" spans="1:16">
      <c r="A18" s="4" t="s">
        <v>51</v>
      </c>
      <c r="B18" s="4" t="s">
        <v>51</v>
      </c>
      <c r="C18" s="4" t="s">
        <v>51</v>
      </c>
      <c r="D18" s="4" t="s">
        <v>51</v>
      </c>
      <c r="E18" s="4" t="s">
        <v>51</v>
      </c>
      <c r="F18" s="4" t="s">
        <v>51</v>
      </c>
      <c r="J18" s="4" t="s">
        <v>51</v>
      </c>
      <c r="K18" s="4" t="s">
        <v>51</v>
      </c>
      <c r="L18" s="4" t="s">
        <v>51</v>
      </c>
      <c r="M18" s="4" t="s">
        <v>51</v>
      </c>
      <c r="N18" s="4" t="s">
        <v>51</v>
      </c>
      <c r="O18" s="4" t="s">
        <v>41</v>
      </c>
      <c r="P18" s="4" t="s">
        <v>41</v>
      </c>
    </row>
    <row r="19" spans="1:16">
      <c r="A19" s="83" t="s">
        <v>5</v>
      </c>
      <c r="B19" s="83"/>
      <c r="C19" s="83"/>
      <c r="D19" s="83"/>
      <c r="E19" s="83"/>
      <c r="F19" s="83"/>
      <c r="J19" s="83" t="s">
        <v>5</v>
      </c>
      <c r="K19" s="83"/>
      <c r="L19" s="83"/>
      <c r="M19" s="83"/>
      <c r="N19" s="83"/>
      <c r="O19" s="83"/>
      <c r="P19" s="6" t="e">
        <f>1-COUNTIF(#REF!,"是")/(COUNTIF(#REF!,"是")+COUNTIF(#REF!,"否"))</f>
        <v>#REF!</v>
      </c>
    </row>
    <row r="20" spans="1:16">
      <c r="A20" s="85"/>
      <c r="B20" s="85"/>
      <c r="C20" s="85"/>
      <c r="D20" s="85"/>
      <c r="E20" s="85"/>
      <c r="F20" s="85"/>
      <c r="J20" s="85"/>
      <c r="K20" s="85"/>
      <c r="L20" s="85"/>
      <c r="M20" s="85"/>
      <c r="N20" s="85"/>
      <c r="O20" s="85"/>
      <c r="P20" s="85"/>
    </row>
  </sheetData>
  <mergeCells count="24">
    <mergeCell ref="A12:F12"/>
    <mergeCell ref="A19:F19"/>
    <mergeCell ref="A20:F20"/>
    <mergeCell ref="J12:O12"/>
    <mergeCell ref="P12:P13"/>
    <mergeCell ref="J19:O19"/>
    <mergeCell ref="J20:P20"/>
    <mergeCell ref="A10:C10"/>
    <mergeCell ref="D10:I10"/>
    <mergeCell ref="J10:O10"/>
    <mergeCell ref="P10:V10"/>
    <mergeCell ref="A2:A3"/>
    <mergeCell ref="A4:A5"/>
    <mergeCell ref="B2:B3"/>
    <mergeCell ref="B4:B5"/>
    <mergeCell ref="C2:C3"/>
    <mergeCell ref="V2:V3"/>
    <mergeCell ref="A8:B9"/>
    <mergeCell ref="D2:I2"/>
    <mergeCell ref="J2:O2"/>
    <mergeCell ref="P2:U2"/>
    <mergeCell ref="D9:I9"/>
    <mergeCell ref="J9:O9"/>
    <mergeCell ref="P9:U9"/>
  </mergeCells>
  <phoneticPr fontId="26" type="noConversion"/>
  <pageMargins left="0.750694444444444" right="0.750694444444444" top="1" bottom="1" header="0.5" footer="0.5"/>
  <pageSetup paperSize="9" scale="88" orientation="portrait" r:id="rId1"/>
  <colBreaks count="2" manualBreakCount="2">
    <brk id="9" max="9" man="1"/>
    <brk id="15" max="9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AB10"/>
  <sheetViews>
    <sheetView view="pageBreakPreview" zoomScaleNormal="100" workbookViewId="0">
      <selection activeCell="G17" sqref="G17"/>
    </sheetView>
  </sheetViews>
  <sheetFormatPr defaultColWidth="9" defaultRowHeight="13.5"/>
  <cols>
    <col min="1" max="1" width="5.375" customWidth="1"/>
    <col min="2" max="2" width="8.375" customWidth="1"/>
    <col min="3" max="3" width="10.125" customWidth="1"/>
    <col min="4" max="8" width="10.625" customWidth="1"/>
    <col min="9" max="9" width="10.375" customWidth="1"/>
    <col min="10" max="21" width="10.625" customWidth="1"/>
    <col min="22" max="27" width="8.625" customWidth="1"/>
    <col min="28" max="28" width="10.625" customWidth="1"/>
  </cols>
  <sheetData>
    <row r="1" spans="1:28" ht="15" customHeight="1">
      <c r="A1" s="1" t="s">
        <v>97</v>
      </c>
      <c r="B1" s="1"/>
      <c r="C1" s="1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4.95" customHeight="1">
      <c r="A2" s="82" t="s">
        <v>34</v>
      </c>
      <c r="B2" s="82" t="s">
        <v>35</v>
      </c>
      <c r="C2" s="82" t="s">
        <v>36</v>
      </c>
      <c r="D2" s="82" t="s">
        <v>37</v>
      </c>
      <c r="E2" s="82"/>
      <c r="F2" s="82"/>
      <c r="G2" s="82"/>
      <c r="H2" s="82"/>
      <c r="I2" s="82"/>
      <c r="J2" s="82" t="s">
        <v>37</v>
      </c>
      <c r="K2" s="82"/>
      <c r="L2" s="82"/>
      <c r="M2" s="82"/>
      <c r="N2" s="82"/>
      <c r="O2" s="82"/>
      <c r="P2" s="82" t="s">
        <v>37</v>
      </c>
      <c r="Q2" s="82"/>
      <c r="R2" s="82"/>
      <c r="S2" s="82"/>
      <c r="T2" s="82"/>
      <c r="U2" s="82"/>
      <c r="V2" s="82" t="s">
        <v>37</v>
      </c>
      <c r="W2" s="82"/>
      <c r="X2" s="82"/>
      <c r="Y2" s="82"/>
      <c r="Z2" s="82"/>
      <c r="AA2" s="82"/>
      <c r="AB2" s="82" t="s">
        <v>38</v>
      </c>
    </row>
    <row r="3" spans="1:28" ht="24.95" customHeight="1">
      <c r="A3" s="82"/>
      <c r="B3" s="82"/>
      <c r="C3" s="82"/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4" t="s">
        <v>79</v>
      </c>
      <c r="K3" s="4" t="s">
        <v>80</v>
      </c>
      <c r="L3" s="4" t="s">
        <v>81</v>
      </c>
      <c r="M3" s="4" t="s">
        <v>82</v>
      </c>
      <c r="N3" s="4" t="s">
        <v>83</v>
      </c>
      <c r="O3" s="4" t="s">
        <v>84</v>
      </c>
      <c r="P3" s="4" t="s">
        <v>85</v>
      </c>
      <c r="Q3" s="4" t="s">
        <v>86</v>
      </c>
      <c r="R3" s="4" t="s">
        <v>87</v>
      </c>
      <c r="S3" s="4" t="s">
        <v>88</v>
      </c>
      <c r="T3" s="4" t="s">
        <v>89</v>
      </c>
      <c r="U3" s="4" t="s">
        <v>98</v>
      </c>
      <c r="V3" s="4" t="s">
        <v>99</v>
      </c>
      <c r="W3" s="4" t="s">
        <v>100</v>
      </c>
      <c r="X3" s="4" t="s">
        <v>101</v>
      </c>
      <c r="Y3" s="4" t="s">
        <v>102</v>
      </c>
      <c r="Z3" s="4" t="s">
        <v>103</v>
      </c>
      <c r="AA3" s="4" t="s">
        <v>104</v>
      </c>
      <c r="AB3" s="82"/>
    </row>
    <row r="4" spans="1:28" ht="45" customHeight="1">
      <c r="A4" s="93">
        <v>1</v>
      </c>
      <c r="B4" s="93" t="s">
        <v>105</v>
      </c>
      <c r="C4" s="96" t="s">
        <v>106</v>
      </c>
      <c r="D4" s="4" t="s">
        <v>44</v>
      </c>
      <c r="E4" s="4" t="s">
        <v>44</v>
      </c>
      <c r="F4" s="4" t="s">
        <v>44</v>
      </c>
      <c r="G4" s="4" t="s">
        <v>44</v>
      </c>
      <c r="H4" s="4" t="s">
        <v>44</v>
      </c>
      <c r="I4" s="96" t="s">
        <v>117</v>
      </c>
      <c r="J4" s="4" t="s">
        <v>44</v>
      </c>
      <c r="K4" s="4" t="s">
        <v>44</v>
      </c>
      <c r="L4" s="4" t="s">
        <v>44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44</v>
      </c>
      <c r="S4" s="4" t="s">
        <v>44</v>
      </c>
      <c r="T4" s="4" t="s">
        <v>44</v>
      </c>
      <c r="U4" s="4" t="s">
        <v>44</v>
      </c>
      <c r="V4" s="4" t="s">
        <v>44</v>
      </c>
      <c r="W4" s="4" t="s">
        <v>44</v>
      </c>
      <c r="X4" s="4" t="s">
        <v>44</v>
      </c>
      <c r="Y4" s="4" t="s">
        <v>44</v>
      </c>
      <c r="Z4" s="4" t="s">
        <v>44</v>
      </c>
      <c r="AA4" s="4" t="s">
        <v>44</v>
      </c>
      <c r="AB4" s="5">
        <f>1-COUNTIF(D4:AA4,"不符合")/(COUNTIF(D4:AA4,"不符合")+COUNTIF(D4:AA4,"符合"))</f>
        <v>1</v>
      </c>
    </row>
    <row r="5" spans="1:28" ht="35.1" customHeight="1">
      <c r="A5" s="95"/>
      <c r="B5" s="95"/>
      <c r="C5" s="4" t="s">
        <v>107</v>
      </c>
      <c r="D5" s="4" t="s">
        <v>44</v>
      </c>
      <c r="E5" s="4" t="s">
        <v>44</v>
      </c>
      <c r="F5" s="4" t="s">
        <v>44</v>
      </c>
      <c r="G5" s="4" t="s">
        <v>44</v>
      </c>
      <c r="H5" s="4" t="s">
        <v>44</v>
      </c>
      <c r="I5" s="4" t="s">
        <v>44</v>
      </c>
      <c r="J5" s="4" t="s">
        <v>44</v>
      </c>
      <c r="K5" s="4" t="s">
        <v>44</v>
      </c>
      <c r="L5" s="4" t="s">
        <v>44</v>
      </c>
      <c r="M5" s="4" t="s">
        <v>44</v>
      </c>
      <c r="N5" s="4" t="s">
        <v>44</v>
      </c>
      <c r="O5" s="4" t="s">
        <v>44</v>
      </c>
      <c r="P5" s="4" t="s">
        <v>44</v>
      </c>
      <c r="Q5" s="4" t="s">
        <v>44</v>
      </c>
      <c r="R5" s="4" t="s">
        <v>44</v>
      </c>
      <c r="S5" s="4" t="s">
        <v>44</v>
      </c>
      <c r="T5" s="4" t="s">
        <v>44</v>
      </c>
      <c r="U5" s="4" t="s">
        <v>44</v>
      </c>
      <c r="V5" s="4" t="s">
        <v>44</v>
      </c>
      <c r="W5" s="4" t="s">
        <v>44</v>
      </c>
      <c r="X5" s="4" t="s">
        <v>44</v>
      </c>
      <c r="Y5" s="4" t="s">
        <v>44</v>
      </c>
      <c r="Z5" s="4" t="s">
        <v>44</v>
      </c>
      <c r="AA5" s="4" t="s">
        <v>44</v>
      </c>
      <c r="AB5" s="5">
        <f>1-COUNTIF(D5:AA5,"不符合")/(COUNTIF(D5:AA5,"不符合")+COUNTIF(D5:AA5,"符合"))</f>
        <v>1</v>
      </c>
    </row>
    <row r="6" spans="1:28" ht="35.1" customHeight="1">
      <c r="A6" s="4">
        <v>2</v>
      </c>
      <c r="B6" s="4" t="s">
        <v>108</v>
      </c>
      <c r="C6" s="4" t="s">
        <v>109</v>
      </c>
      <c r="D6" s="4" t="s">
        <v>44</v>
      </c>
      <c r="E6" s="4" t="s">
        <v>44</v>
      </c>
      <c r="F6" s="4" t="s">
        <v>44</v>
      </c>
      <c r="G6" s="4" t="s">
        <v>44</v>
      </c>
      <c r="H6" s="4" t="s">
        <v>44</v>
      </c>
      <c r="I6" s="4" t="s">
        <v>44</v>
      </c>
      <c r="J6" s="4" t="s">
        <v>44</v>
      </c>
      <c r="K6" s="4" t="s">
        <v>44</v>
      </c>
      <c r="L6" s="4" t="s">
        <v>44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44</v>
      </c>
      <c r="S6" s="4" t="s">
        <v>44</v>
      </c>
      <c r="T6" s="4" t="s">
        <v>44</v>
      </c>
      <c r="U6" s="4" t="s">
        <v>44</v>
      </c>
      <c r="V6" s="4" t="s">
        <v>44</v>
      </c>
      <c r="W6" s="4" t="s">
        <v>44</v>
      </c>
      <c r="X6" s="4" t="s">
        <v>44</v>
      </c>
      <c r="Y6" s="4" t="s">
        <v>44</v>
      </c>
      <c r="Z6" s="4" t="s">
        <v>44</v>
      </c>
      <c r="AA6" s="4" t="s">
        <v>44</v>
      </c>
      <c r="AB6" s="5">
        <f>1-COUNTIF(D6:AA6,"不符合")/(COUNTIF(D6:AA6,"不符合")+COUNTIF(D6:AA6,"符合"))</f>
        <v>1</v>
      </c>
    </row>
    <row r="7" spans="1:28" ht="35.1" customHeight="1">
      <c r="A7" s="4">
        <v>3</v>
      </c>
      <c r="B7" s="4" t="s">
        <v>110</v>
      </c>
      <c r="C7" s="4" t="s">
        <v>111</v>
      </c>
      <c r="D7" s="4" t="s">
        <v>44</v>
      </c>
      <c r="E7" s="4" t="s">
        <v>44</v>
      </c>
      <c r="F7" s="4" t="s">
        <v>44</v>
      </c>
      <c r="G7" s="4" t="s">
        <v>44</v>
      </c>
      <c r="H7" s="4" t="s">
        <v>44</v>
      </c>
      <c r="I7" s="4" t="s">
        <v>44</v>
      </c>
      <c r="J7" s="4" t="s">
        <v>44</v>
      </c>
      <c r="K7" s="4" t="s">
        <v>44</v>
      </c>
      <c r="L7" s="4" t="s">
        <v>44</v>
      </c>
      <c r="M7" s="4" t="s">
        <v>44</v>
      </c>
      <c r="N7" s="4" t="s">
        <v>44</v>
      </c>
      <c r="O7" s="4" t="s">
        <v>44</v>
      </c>
      <c r="P7" s="4" t="s">
        <v>44</v>
      </c>
      <c r="Q7" s="4" t="s">
        <v>44</v>
      </c>
      <c r="R7" s="4" t="s">
        <v>44</v>
      </c>
      <c r="S7" s="4" t="s">
        <v>44</v>
      </c>
      <c r="T7" s="4" t="s">
        <v>44</v>
      </c>
      <c r="U7" s="4" t="s">
        <v>44</v>
      </c>
      <c r="V7" s="4" t="s">
        <v>44</v>
      </c>
      <c r="W7" s="4" t="s">
        <v>44</v>
      </c>
      <c r="X7" s="4" t="s">
        <v>44</v>
      </c>
      <c r="Y7" s="4" t="s">
        <v>44</v>
      </c>
      <c r="Z7" s="4" t="s">
        <v>44</v>
      </c>
      <c r="AA7" s="4" t="s">
        <v>44</v>
      </c>
      <c r="AB7" s="5">
        <f>1-COUNTIF(D7:AA7,"不符合")/(COUNTIF(D7:AA7,"不符合")+COUNTIF(D7:AA7,"符合"))</f>
        <v>1</v>
      </c>
    </row>
    <row r="8" spans="1:28" ht="24.95" customHeight="1">
      <c r="A8" s="83" t="s">
        <v>13</v>
      </c>
      <c r="B8" s="83"/>
      <c r="C8" s="4" t="s">
        <v>50</v>
      </c>
      <c r="D8" s="4" t="s">
        <v>51</v>
      </c>
      <c r="E8" s="4" t="s">
        <v>51</v>
      </c>
      <c r="F8" s="4" t="s">
        <v>51</v>
      </c>
      <c r="G8" s="4" t="s">
        <v>51</v>
      </c>
      <c r="H8" s="4" t="s">
        <v>51</v>
      </c>
      <c r="I8" s="4" t="s">
        <v>51</v>
      </c>
      <c r="J8" s="4" t="s">
        <v>51</v>
      </c>
      <c r="K8" s="4" t="s">
        <v>51</v>
      </c>
      <c r="L8" s="4" t="s">
        <v>51</v>
      </c>
      <c r="M8" s="4" t="s">
        <v>51</v>
      </c>
      <c r="N8" s="4" t="s">
        <v>51</v>
      </c>
      <c r="O8" s="4" t="s">
        <v>51</v>
      </c>
      <c r="P8" s="4" t="s">
        <v>51</v>
      </c>
      <c r="Q8" s="4" t="s">
        <v>51</v>
      </c>
      <c r="R8" s="4" t="s">
        <v>51</v>
      </c>
      <c r="S8" s="4" t="s">
        <v>51</v>
      </c>
      <c r="T8" s="4" t="s">
        <v>51</v>
      </c>
      <c r="U8" s="4" t="s">
        <v>51</v>
      </c>
      <c r="V8" s="4" t="s">
        <v>51</v>
      </c>
      <c r="W8" s="4" t="s">
        <v>51</v>
      </c>
      <c r="X8" s="4" t="s">
        <v>51</v>
      </c>
      <c r="Y8" s="4" t="s">
        <v>51</v>
      </c>
      <c r="Z8" s="4" t="s">
        <v>51</v>
      </c>
      <c r="AA8" s="4" t="s">
        <v>51</v>
      </c>
      <c r="AB8" s="4" t="s">
        <v>41</v>
      </c>
    </row>
    <row r="9" spans="1:28" ht="24.95" customHeight="1">
      <c r="A9" s="83"/>
      <c r="B9" s="83"/>
      <c r="C9" s="4" t="s">
        <v>5</v>
      </c>
      <c r="D9" s="83" t="s">
        <v>5</v>
      </c>
      <c r="E9" s="83"/>
      <c r="F9" s="83"/>
      <c r="G9" s="83"/>
      <c r="H9" s="83"/>
      <c r="I9" s="83"/>
      <c r="J9" s="83" t="s">
        <v>5</v>
      </c>
      <c r="K9" s="83"/>
      <c r="L9" s="83"/>
      <c r="M9" s="83"/>
      <c r="N9" s="83"/>
      <c r="O9" s="83"/>
      <c r="P9" s="83" t="s">
        <v>5</v>
      </c>
      <c r="Q9" s="83"/>
      <c r="R9" s="83"/>
      <c r="S9" s="83"/>
      <c r="T9" s="83"/>
      <c r="U9" s="83"/>
      <c r="V9" s="83" t="s">
        <v>5</v>
      </c>
      <c r="W9" s="83"/>
      <c r="X9" s="83"/>
      <c r="Y9" s="83"/>
      <c r="Z9" s="83"/>
      <c r="AA9" s="83"/>
      <c r="AB9" s="6">
        <f>1-COUNTIF(D8:AA8,"是")/(COUNTIF(D8:AA8,"是")+COUNTIF(D8:AA8,"否"))</f>
        <v>1</v>
      </c>
    </row>
    <row r="10" spans="1:28" ht="35.1" customHeight="1">
      <c r="A10" s="84" t="s">
        <v>52</v>
      </c>
      <c r="B10" s="84"/>
      <c r="C10" s="84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</row>
  </sheetData>
  <mergeCells count="20">
    <mergeCell ref="AB2:AB3"/>
    <mergeCell ref="A8:B9"/>
    <mergeCell ref="A2:A3"/>
    <mergeCell ref="A4:A5"/>
    <mergeCell ref="B2:B3"/>
    <mergeCell ref="B4:B5"/>
    <mergeCell ref="C2:C3"/>
    <mergeCell ref="A10:C10"/>
    <mergeCell ref="D10:I10"/>
    <mergeCell ref="J10:O10"/>
    <mergeCell ref="P10:U10"/>
    <mergeCell ref="V10:AB10"/>
    <mergeCell ref="D2:I2"/>
    <mergeCell ref="J2:O2"/>
    <mergeCell ref="P2:U2"/>
    <mergeCell ref="V2:AA2"/>
    <mergeCell ref="D9:I9"/>
    <mergeCell ref="J9:O9"/>
    <mergeCell ref="P9:U9"/>
    <mergeCell ref="V9:AA9"/>
  </mergeCells>
  <phoneticPr fontId="26" type="noConversion"/>
  <pageMargins left="0.750694444444444" right="0.750694444444444" top="1" bottom="1" header="0.5" footer="0.5"/>
  <pageSetup paperSize="9" scale="88" orientation="portrait" r:id="rId1"/>
  <colBreaks count="3" manualBreakCount="3">
    <brk id="9" max="9" man="1"/>
    <brk id="15" max="9" man="1"/>
    <brk id="21" max="9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O19"/>
  <sheetViews>
    <sheetView view="pageBreakPreview" zoomScaleNormal="100" workbookViewId="0">
      <selection activeCell="C8" sqref="C8"/>
    </sheetView>
  </sheetViews>
  <sheetFormatPr defaultColWidth="9" defaultRowHeight="13.5"/>
  <cols>
    <col min="1" max="1" width="7.625" customWidth="1"/>
    <col min="3" max="3" width="10.375" customWidth="1"/>
    <col min="4" max="15" width="10.625" customWidth="1"/>
  </cols>
  <sheetData>
    <row r="1" spans="1:15" ht="15" customHeight="1">
      <c r="A1" s="1" t="s">
        <v>112</v>
      </c>
      <c r="B1" s="1"/>
      <c r="C1" s="1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</row>
    <row r="2" spans="1:15" ht="24.95" customHeight="1">
      <c r="A2" s="82" t="s">
        <v>34</v>
      </c>
      <c r="B2" s="82" t="s">
        <v>35</v>
      </c>
      <c r="C2" s="82" t="s">
        <v>36</v>
      </c>
      <c r="D2" s="82" t="s">
        <v>37</v>
      </c>
      <c r="E2" s="82"/>
      <c r="F2" s="82"/>
      <c r="G2" s="82"/>
      <c r="H2" s="82"/>
      <c r="I2" s="82"/>
      <c r="J2" s="82" t="s">
        <v>37</v>
      </c>
      <c r="K2" s="82"/>
      <c r="L2" s="82"/>
      <c r="M2" s="82"/>
      <c r="N2" s="82"/>
      <c r="O2" s="82" t="s">
        <v>38</v>
      </c>
    </row>
    <row r="3" spans="1:15" ht="24.95" customHeight="1">
      <c r="A3" s="82"/>
      <c r="B3" s="82"/>
      <c r="C3" s="82"/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4" t="s">
        <v>79</v>
      </c>
      <c r="K3" s="4" t="s">
        <v>80</v>
      </c>
      <c r="L3" s="4" t="s">
        <v>81</v>
      </c>
      <c r="M3" s="4" t="s">
        <v>82</v>
      </c>
      <c r="N3" s="4" t="s">
        <v>83</v>
      </c>
      <c r="O3" s="82"/>
    </row>
    <row r="4" spans="1:15" ht="35.1" customHeight="1">
      <c r="A4" s="83">
        <v>1</v>
      </c>
      <c r="B4" s="83" t="s">
        <v>90</v>
      </c>
      <c r="C4" s="4" t="s">
        <v>113</v>
      </c>
      <c r="D4" s="4" t="s">
        <v>44</v>
      </c>
      <c r="E4" s="4" t="s">
        <v>44</v>
      </c>
      <c r="F4" s="4" t="s">
        <v>44</v>
      </c>
      <c r="G4" s="4" t="s">
        <v>44</v>
      </c>
      <c r="H4" s="4" t="s">
        <v>44</v>
      </c>
      <c r="I4" s="4" t="s">
        <v>44</v>
      </c>
      <c r="J4" s="4" t="s">
        <v>44</v>
      </c>
      <c r="K4" s="4" t="s">
        <v>44</v>
      </c>
      <c r="L4" s="4" t="s">
        <v>44</v>
      </c>
      <c r="M4" s="4" t="s">
        <v>44</v>
      </c>
      <c r="N4" s="4" t="s">
        <v>44</v>
      </c>
      <c r="O4" s="5">
        <f>1-COUNTIF(D4:N4,"不符合")/(COUNTIF(D4:N4,"不符合")+COUNTIF(D4:N4,"符合"))</f>
        <v>1</v>
      </c>
    </row>
    <row r="5" spans="1:15" ht="35.1" customHeight="1">
      <c r="A5" s="83"/>
      <c r="B5" s="83"/>
      <c r="C5" s="4" t="s">
        <v>114</v>
      </c>
      <c r="D5" s="4" t="s">
        <v>44</v>
      </c>
      <c r="E5" s="4" t="s">
        <v>44</v>
      </c>
      <c r="F5" s="4" t="s">
        <v>44</v>
      </c>
      <c r="G5" s="4" t="s">
        <v>44</v>
      </c>
      <c r="H5" s="4" t="s">
        <v>44</v>
      </c>
      <c r="I5" s="4" t="s">
        <v>44</v>
      </c>
      <c r="J5" s="4" t="s">
        <v>44</v>
      </c>
      <c r="K5" s="4" t="s">
        <v>44</v>
      </c>
      <c r="L5" s="4" t="s">
        <v>44</v>
      </c>
      <c r="M5" s="4" t="s">
        <v>44</v>
      </c>
      <c r="N5" s="4" t="s">
        <v>44</v>
      </c>
      <c r="O5" s="5">
        <f>1-COUNTIF(D5:N5,"不符合")/(COUNTIF(D5:N5,"不符合")+COUNTIF(D5:N5,"符合"))</f>
        <v>1</v>
      </c>
    </row>
    <row r="6" spans="1:15" ht="35.1" customHeight="1">
      <c r="A6" s="83"/>
      <c r="B6" s="83"/>
      <c r="C6" s="4" t="s">
        <v>115</v>
      </c>
      <c r="D6" s="4" t="s">
        <v>44</v>
      </c>
      <c r="E6" s="4" t="s">
        <v>44</v>
      </c>
      <c r="F6" s="4" t="s">
        <v>44</v>
      </c>
      <c r="G6" s="4" t="s">
        <v>44</v>
      </c>
      <c r="H6" s="4" t="s">
        <v>44</v>
      </c>
      <c r="I6" s="4" t="s">
        <v>44</v>
      </c>
      <c r="J6" s="4" t="s">
        <v>44</v>
      </c>
      <c r="K6" s="4" t="s">
        <v>44</v>
      </c>
      <c r="L6" s="4" t="s">
        <v>44</v>
      </c>
      <c r="M6" s="4" t="s">
        <v>44</v>
      </c>
      <c r="N6" s="4" t="s">
        <v>44</v>
      </c>
      <c r="O6" s="5">
        <f>1-COUNTIF(D6:N6,"不符合")/(COUNTIF(D6:N6,"不符合")+COUNTIF(D6:N6,"符合"))</f>
        <v>1</v>
      </c>
    </row>
    <row r="7" spans="1:15" ht="35.1" customHeight="1">
      <c r="A7" s="83"/>
      <c r="B7" s="83"/>
      <c r="C7" s="4" t="s">
        <v>116</v>
      </c>
      <c r="D7" s="4" t="s">
        <v>44</v>
      </c>
      <c r="E7" s="4" t="s">
        <v>44</v>
      </c>
      <c r="F7" s="4" t="s">
        <v>44</v>
      </c>
      <c r="G7" s="4" t="s">
        <v>44</v>
      </c>
      <c r="H7" s="4" t="s">
        <v>44</v>
      </c>
      <c r="I7" s="4" t="s">
        <v>44</v>
      </c>
      <c r="J7" s="4" t="s">
        <v>44</v>
      </c>
      <c r="K7" s="4" t="s">
        <v>44</v>
      </c>
      <c r="L7" s="4" t="s">
        <v>44</v>
      </c>
      <c r="M7" s="4" t="s">
        <v>44</v>
      </c>
      <c r="N7" s="4" t="s">
        <v>44</v>
      </c>
      <c r="O7" s="5">
        <f>1-COUNTIF(D7:N7,"不符合")/(COUNTIF(D7:N7,"不符合")+COUNTIF(D7:N7,"符合"))</f>
        <v>1</v>
      </c>
    </row>
    <row r="8" spans="1:15" ht="24.95" customHeight="1">
      <c r="A8" s="83" t="s">
        <v>14</v>
      </c>
      <c r="B8" s="83"/>
      <c r="C8" s="4" t="s">
        <v>50</v>
      </c>
      <c r="D8" s="4" t="s">
        <v>51</v>
      </c>
      <c r="E8" s="4" t="s">
        <v>51</v>
      </c>
      <c r="F8" s="4" t="s">
        <v>51</v>
      </c>
      <c r="G8" s="4" t="s">
        <v>51</v>
      </c>
      <c r="H8" s="4" t="s">
        <v>51</v>
      </c>
      <c r="I8" s="4" t="s">
        <v>51</v>
      </c>
      <c r="J8" s="4" t="s">
        <v>51</v>
      </c>
      <c r="K8" s="4" t="s">
        <v>51</v>
      </c>
      <c r="L8" s="4" t="s">
        <v>51</v>
      </c>
      <c r="M8" s="4" t="s">
        <v>51</v>
      </c>
      <c r="N8" s="4" t="s">
        <v>51</v>
      </c>
      <c r="O8" s="4" t="s">
        <v>41</v>
      </c>
    </row>
    <row r="9" spans="1:15" ht="66" customHeight="1">
      <c r="A9" s="1"/>
      <c r="B9" s="1"/>
      <c r="C9" s="1"/>
      <c r="D9" s="2"/>
      <c r="E9" s="2"/>
      <c r="F9" s="2"/>
      <c r="G9" s="2"/>
      <c r="H9" s="2"/>
      <c r="I9" s="2"/>
      <c r="J9" s="3"/>
      <c r="K9" s="3"/>
      <c r="L9" s="3"/>
      <c r="M9" s="3"/>
      <c r="N9" s="3"/>
      <c r="O9" s="3"/>
    </row>
    <row r="10" spans="1:15" ht="15" customHeight="1">
      <c r="A10" s="1" t="s">
        <v>112</v>
      </c>
      <c r="B10" s="1"/>
      <c r="C10" s="1"/>
      <c r="D10" s="2"/>
      <c r="E10" s="2"/>
      <c r="F10" s="2"/>
      <c r="G10" s="2"/>
      <c r="H10" s="2"/>
      <c r="I10" s="2"/>
      <c r="J10" s="3"/>
      <c r="K10" s="3"/>
      <c r="L10" s="3"/>
      <c r="M10" s="3"/>
      <c r="N10" s="3"/>
      <c r="O10" s="3"/>
    </row>
    <row r="11" spans="1:15" ht="24.95" customHeight="1">
      <c r="A11" s="82" t="s">
        <v>34</v>
      </c>
      <c r="B11" s="82" t="s">
        <v>35</v>
      </c>
      <c r="C11" s="82" t="s">
        <v>36</v>
      </c>
      <c r="D11" s="82" t="s">
        <v>37</v>
      </c>
      <c r="E11" s="82"/>
      <c r="F11" s="82"/>
      <c r="G11" s="82"/>
      <c r="H11" s="82"/>
      <c r="I11" s="82"/>
      <c r="J11" s="82" t="s">
        <v>37</v>
      </c>
      <c r="K11" s="82"/>
      <c r="L11" s="82"/>
      <c r="M11" s="82"/>
      <c r="N11" s="82"/>
      <c r="O11" s="82" t="s">
        <v>38</v>
      </c>
    </row>
    <row r="12" spans="1:15" ht="24.95" customHeight="1">
      <c r="A12" s="82"/>
      <c r="B12" s="82"/>
      <c r="C12" s="82"/>
      <c r="D12" s="4" t="s">
        <v>84</v>
      </c>
      <c r="E12" s="4" t="s">
        <v>85</v>
      </c>
      <c r="F12" s="4" t="s">
        <v>86</v>
      </c>
      <c r="G12" s="4" t="s">
        <v>87</v>
      </c>
      <c r="H12" s="4" t="s">
        <v>88</v>
      </c>
      <c r="I12" s="4" t="s">
        <v>89</v>
      </c>
      <c r="J12" s="4" t="s">
        <v>98</v>
      </c>
      <c r="K12" s="4" t="s">
        <v>99</v>
      </c>
      <c r="L12" s="4" t="s">
        <v>100</v>
      </c>
      <c r="M12" s="4" t="s">
        <v>101</v>
      </c>
      <c r="N12" s="4" t="s">
        <v>102</v>
      </c>
      <c r="O12" s="82"/>
    </row>
    <row r="13" spans="1:15" ht="35.1" customHeight="1">
      <c r="A13" s="83">
        <v>1</v>
      </c>
      <c r="B13" s="83" t="s">
        <v>90</v>
      </c>
      <c r="C13" s="4" t="s">
        <v>113</v>
      </c>
      <c r="D13" s="4" t="s">
        <v>44</v>
      </c>
      <c r="E13" s="4" t="s">
        <v>44</v>
      </c>
      <c r="F13" s="4" t="s">
        <v>44</v>
      </c>
      <c r="G13" s="4" t="s">
        <v>44</v>
      </c>
      <c r="H13" s="4" t="s">
        <v>44</v>
      </c>
      <c r="I13" s="4" t="s">
        <v>44</v>
      </c>
      <c r="J13" s="4" t="s">
        <v>44</v>
      </c>
      <c r="K13" s="4" t="s">
        <v>44</v>
      </c>
      <c r="L13" s="4" t="s">
        <v>44</v>
      </c>
      <c r="M13" s="4" t="s">
        <v>44</v>
      </c>
      <c r="N13" s="4" t="s">
        <v>44</v>
      </c>
      <c r="O13" s="5">
        <f>1-COUNTIF(D13:N13,"不符合")/(COUNTIF(D13:N13,"不符合")+COUNTIF(D13:N13,"符合"))</f>
        <v>1</v>
      </c>
    </row>
    <row r="14" spans="1:15" ht="35.1" customHeight="1">
      <c r="A14" s="83"/>
      <c r="B14" s="83"/>
      <c r="C14" s="4" t="s">
        <v>114</v>
      </c>
      <c r="D14" s="4" t="s">
        <v>44</v>
      </c>
      <c r="E14" s="4" t="s">
        <v>44</v>
      </c>
      <c r="F14" s="4" t="s">
        <v>44</v>
      </c>
      <c r="G14" s="4" t="s">
        <v>44</v>
      </c>
      <c r="H14" s="4" t="s">
        <v>44</v>
      </c>
      <c r="I14" s="4" t="s">
        <v>44</v>
      </c>
      <c r="J14" s="4" t="s">
        <v>44</v>
      </c>
      <c r="K14" s="4" t="s">
        <v>44</v>
      </c>
      <c r="L14" s="4" t="s">
        <v>44</v>
      </c>
      <c r="M14" s="4" t="s">
        <v>44</v>
      </c>
      <c r="N14" s="4" t="s">
        <v>44</v>
      </c>
      <c r="O14" s="5">
        <f>1-COUNTIF(D14:N14,"不符合")/(COUNTIF(D14:N14,"不符合")+COUNTIF(D14:N14,"符合"))</f>
        <v>1</v>
      </c>
    </row>
    <row r="15" spans="1:15" ht="35.1" customHeight="1">
      <c r="A15" s="83"/>
      <c r="B15" s="83"/>
      <c r="C15" s="4" t="s">
        <v>115</v>
      </c>
      <c r="D15" s="4" t="s">
        <v>44</v>
      </c>
      <c r="E15" s="4" t="s">
        <v>44</v>
      </c>
      <c r="F15" s="4" t="s">
        <v>44</v>
      </c>
      <c r="G15" s="4" t="s">
        <v>44</v>
      </c>
      <c r="H15" s="4" t="s">
        <v>44</v>
      </c>
      <c r="I15" s="4" t="s">
        <v>44</v>
      </c>
      <c r="J15" s="4" t="s">
        <v>44</v>
      </c>
      <c r="K15" s="4" t="s">
        <v>44</v>
      </c>
      <c r="L15" s="4" t="s">
        <v>44</v>
      </c>
      <c r="M15" s="4" t="s">
        <v>44</v>
      </c>
      <c r="N15" s="4" t="s">
        <v>44</v>
      </c>
      <c r="O15" s="5">
        <f>1-COUNTIF(D15:N15,"不符合")/(COUNTIF(D15:N15,"不符合")+COUNTIF(D15:N15,"符合"))</f>
        <v>1</v>
      </c>
    </row>
    <row r="16" spans="1:15" ht="35.1" customHeight="1">
      <c r="A16" s="83"/>
      <c r="B16" s="83"/>
      <c r="C16" s="4" t="s">
        <v>116</v>
      </c>
      <c r="D16" s="4" t="s">
        <v>44</v>
      </c>
      <c r="E16" s="4" t="s">
        <v>44</v>
      </c>
      <c r="F16" s="4" t="s">
        <v>44</v>
      </c>
      <c r="G16" s="4" t="s">
        <v>44</v>
      </c>
      <c r="H16" s="4" t="s">
        <v>44</v>
      </c>
      <c r="I16" s="4" t="s">
        <v>44</v>
      </c>
      <c r="J16" s="4" t="s">
        <v>44</v>
      </c>
      <c r="K16" s="4" t="s">
        <v>44</v>
      </c>
      <c r="L16" s="4" t="s">
        <v>44</v>
      </c>
      <c r="M16" s="4" t="s">
        <v>44</v>
      </c>
      <c r="N16" s="4" t="s">
        <v>44</v>
      </c>
      <c r="O16" s="5">
        <f>1-COUNTIF(D16:N16,"不符合")/(COUNTIF(D16:N16,"不符合")+COUNTIF(D16:N16,"符合"))</f>
        <v>1</v>
      </c>
    </row>
    <row r="17" spans="1:15" ht="24.95" customHeight="1">
      <c r="A17" s="83" t="s">
        <v>14</v>
      </c>
      <c r="B17" s="83"/>
      <c r="C17" s="4" t="s">
        <v>50</v>
      </c>
      <c r="D17" s="4" t="s">
        <v>51</v>
      </c>
      <c r="E17" s="4" t="s">
        <v>51</v>
      </c>
      <c r="F17" s="4" t="s">
        <v>51</v>
      </c>
      <c r="G17" s="4" t="s">
        <v>51</v>
      </c>
      <c r="H17" s="4" t="s">
        <v>51</v>
      </c>
      <c r="I17" s="4" t="s">
        <v>51</v>
      </c>
      <c r="J17" s="4" t="s">
        <v>51</v>
      </c>
      <c r="K17" s="4" t="s">
        <v>51</v>
      </c>
      <c r="L17" s="4" t="s">
        <v>51</v>
      </c>
      <c r="M17" s="4" t="s">
        <v>51</v>
      </c>
      <c r="N17" s="4" t="s">
        <v>51</v>
      </c>
      <c r="O17" s="4" t="s">
        <v>41</v>
      </c>
    </row>
    <row r="18" spans="1:15" ht="24.95" customHeight="1">
      <c r="A18" s="83"/>
      <c r="B18" s="83"/>
      <c r="C18" s="4" t="s">
        <v>5</v>
      </c>
      <c r="D18" s="83" t="s">
        <v>5</v>
      </c>
      <c r="E18" s="83"/>
      <c r="F18" s="83"/>
      <c r="G18" s="83"/>
      <c r="H18" s="83"/>
      <c r="I18" s="83"/>
      <c r="J18" s="83" t="s">
        <v>5</v>
      </c>
      <c r="K18" s="83"/>
      <c r="L18" s="83"/>
      <c r="M18" s="83"/>
      <c r="N18" s="83"/>
      <c r="O18" s="6">
        <f>1-COUNTIF(D8:N17,"是")/(COUNTIF(D8:N17,"是")+COUNTIF(D8:N17,"否"))</f>
        <v>1</v>
      </c>
    </row>
    <row r="19" spans="1:15" ht="35.1" customHeight="1">
      <c r="A19" s="84" t="s">
        <v>52</v>
      </c>
      <c r="B19" s="84"/>
      <c r="C19" s="84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</sheetData>
  <mergeCells count="23">
    <mergeCell ref="O2:O3"/>
    <mergeCell ref="O11:O12"/>
    <mergeCell ref="A17:B18"/>
    <mergeCell ref="A13:A16"/>
    <mergeCell ref="B2:B3"/>
    <mergeCell ref="B4:B7"/>
    <mergeCell ref="B11:B12"/>
    <mergeCell ref="B13:B16"/>
    <mergeCell ref="D18:I18"/>
    <mergeCell ref="J18:N18"/>
    <mergeCell ref="A19:C19"/>
    <mergeCell ref="D19:I19"/>
    <mergeCell ref="J19:O19"/>
    <mergeCell ref="D2:I2"/>
    <mergeCell ref="J2:N2"/>
    <mergeCell ref="A8:B8"/>
    <mergeCell ref="D11:I11"/>
    <mergeCell ref="J11:N11"/>
    <mergeCell ref="A2:A3"/>
    <mergeCell ref="A4:A7"/>
    <mergeCell ref="A11:A12"/>
    <mergeCell ref="C2:C3"/>
    <mergeCell ref="C11:C12"/>
  </mergeCells>
  <phoneticPr fontId="26" type="noConversion"/>
  <pageMargins left="0.750694444444444" right="0.750694444444444" top="1" bottom="1" header="0.5" footer="0.5"/>
  <pageSetup paperSize="9" scale="88" orientation="portrait" r:id="rId1"/>
  <colBreaks count="1" manualBreakCount="1">
    <brk id="9" max="1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14</vt:i4>
      </vt:variant>
    </vt:vector>
  </HeadingPairs>
  <TitlesOfParts>
    <vt:vector size="25" baseType="lpstr">
      <vt:lpstr>检查结果计算表</vt:lpstr>
      <vt:lpstr>封面页---安全设施</vt:lpstr>
      <vt:lpstr>分部工程-安全设施</vt:lpstr>
      <vt:lpstr>消防设施</vt:lpstr>
      <vt:lpstr>电气安全</vt:lpstr>
      <vt:lpstr>防护设施</vt:lpstr>
      <vt:lpstr>封面页---生产设备</vt:lpstr>
      <vt:lpstr>分部工程-生产设备</vt:lpstr>
      <vt:lpstr>机械设备</vt:lpstr>
      <vt:lpstr>特种设备</vt:lpstr>
      <vt:lpstr>仪器仪表</vt:lpstr>
      <vt:lpstr>电气安全!Print_Area</vt:lpstr>
      <vt:lpstr>防护设施!Print_Area</vt:lpstr>
      <vt:lpstr>'封面页---安全设施'!Print_Area</vt:lpstr>
      <vt:lpstr>'封面页---生产设备'!Print_Area</vt:lpstr>
      <vt:lpstr>机械设备!Print_Area</vt:lpstr>
      <vt:lpstr>特种设备!Print_Area</vt:lpstr>
      <vt:lpstr>消防设施!Print_Area</vt:lpstr>
      <vt:lpstr>仪器仪表!Print_Area</vt:lpstr>
      <vt:lpstr>电气安全!Print_Titles</vt:lpstr>
      <vt:lpstr>防护设施!Print_Titles</vt:lpstr>
      <vt:lpstr>机械设备!Print_Titles</vt:lpstr>
      <vt:lpstr>特种设备!Print_Titles</vt:lpstr>
      <vt:lpstr>消防设施!Print_Titles</vt:lpstr>
      <vt:lpstr>仪器仪表!Print_Titles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KING V</cp:lastModifiedBy>
  <dcterms:created xsi:type="dcterms:W3CDTF">2025-11-10T12:54:00Z</dcterms:created>
  <dcterms:modified xsi:type="dcterms:W3CDTF">2026-04-12T12:13:53Z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05772E09D8FA426084B0E572EE70CF8E_13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